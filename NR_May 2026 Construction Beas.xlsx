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himajain/Downloads/Nominal_role_workspace/"/>
    </mc:Choice>
  </mc:AlternateContent>
  <xr:revisionPtr revIDLastSave="0" documentId="13_ncr:1_{CF9AD332-6111-46A6-A319-35A0F4A5EE44}" xr6:coauthVersionLast="47" xr6:coauthVersionMax="47" xr10:uidLastSave="{00000000-0000-0000-0000-000000000000}"/>
  <bookViews>
    <workbookView xWindow="0" yWindow="600" windowWidth="28800" windowHeight="15720" xr2:uid="{1A4E33BE-84BD-424B-B5B1-546117515278}"/>
  </bookViews>
  <sheets>
    <sheet name="1-10 May" sheetId="1" r:id="rId1"/>
    <sheet name="1-5 May" sheetId="2" r:id="rId2"/>
    <sheet name="6-10 May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3" l="1"/>
  <c r="A15" i="3" s="1"/>
  <c r="A16" i="3" s="1"/>
  <c r="A17" i="3" s="1"/>
  <c r="A18" i="3" s="1"/>
  <c r="A19" i="3" s="1"/>
  <c r="A20" i="3" s="1"/>
  <c r="A21" i="3" s="1"/>
  <c r="A22" i="3" s="1"/>
  <c r="A23" i="3" s="1"/>
  <c r="A13" i="3"/>
  <c r="G9" i="3"/>
  <c r="I8" i="3"/>
  <c r="G8" i="3"/>
  <c r="C8" i="3"/>
  <c r="C7" i="3"/>
  <c r="I5" i="3"/>
  <c r="G5" i="3"/>
  <c r="C5" i="3"/>
  <c r="G50" i="1"/>
  <c r="G45" i="2"/>
  <c r="A13" i="2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G9" i="2"/>
  <c r="I8" i="2"/>
  <c r="G8" i="2"/>
  <c r="C8" i="2"/>
  <c r="C7" i="2"/>
  <c r="I5" i="2"/>
  <c r="G5" i="2"/>
  <c r="C5" i="2"/>
  <c r="C5" i="1"/>
  <c r="G5" i="1"/>
  <c r="I5" i="1"/>
  <c r="C7" i="1"/>
  <c r="C8" i="1"/>
  <c r="G8" i="1"/>
  <c r="G9" i="1"/>
  <c r="A13" i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</calcChain>
</file>

<file path=xl/sharedStrings.xml><?xml version="1.0" encoding="utf-8"?>
<sst xmlns="http://schemas.openxmlformats.org/spreadsheetml/2006/main" count="498" uniqueCount="337">
  <si>
    <t xml:space="preserve">Contact No.    :   </t>
  </si>
  <si>
    <t xml:space="preserve">Contact No.   :  </t>
  </si>
  <si>
    <t xml:space="preserve">Date :   </t>
  </si>
  <si>
    <t>(Affixx Rubber Stamp)</t>
  </si>
  <si>
    <t>(Signature of Functionary)</t>
  </si>
  <si>
    <t>(Signature of Jathedar)</t>
  </si>
  <si>
    <t>Tanish</t>
  </si>
  <si>
    <t>Manju Tanish</t>
  </si>
  <si>
    <t>Jyanti Devi</t>
  </si>
  <si>
    <t>Brahamvati</t>
  </si>
  <si>
    <t>NA</t>
  </si>
  <si>
    <t>0</t>
  </si>
  <si>
    <t>Dayalpur, NR Delhi</t>
  </si>
  <si>
    <t>*******0434</t>
  </si>
  <si>
    <t>F</t>
  </si>
  <si>
    <t>Ram Singh</t>
  </si>
  <si>
    <t>Hema Rani</t>
  </si>
  <si>
    <t>*******7484</t>
  </si>
  <si>
    <t>M</t>
  </si>
  <si>
    <t>Ramesh</t>
  </si>
  <si>
    <t>Jayprakash</t>
  </si>
  <si>
    <t>Jahangirpuri, Delhi, India</t>
  </si>
  <si>
    <t>*******9659</t>
  </si>
  <si>
    <t>Tara Chand</t>
  </si>
  <si>
    <t>Bimlesh</t>
  </si>
  <si>
    <t>39, Vill. Dhaka Kingsway Camp, Dhaka, North West Delhi -110009.</t>
  </si>
  <si>
    <t>*******7313</t>
  </si>
  <si>
    <t>Ami Chand</t>
  </si>
  <si>
    <t>Kamlesh (Rajwati Pal)</t>
  </si>
  <si>
    <t>Kh No. 4/14, Gali No. 6, Prem Nagar, Nathupura, Burari, North Delhi</t>
  </si>
  <si>
    <t>*******0677</t>
  </si>
  <si>
    <t>Kamal Singh Pal</t>
  </si>
  <si>
    <t>Jatin Pal</t>
  </si>
  <si>
    <t>E-58, Street No.5, DCM Colony, Ibrahim Pur, Burari</t>
  </si>
  <si>
    <t>*******0293</t>
  </si>
  <si>
    <t>Jai Prakash</t>
  </si>
  <si>
    <t>Bimla</t>
  </si>
  <si>
    <t>Karkar Model, Sahibabad, Ghaziabad</t>
  </si>
  <si>
    <t>*******4521</t>
  </si>
  <si>
    <t>Kishan Lal</t>
  </si>
  <si>
    <t>Vishkha</t>
  </si>
  <si>
    <t>246 New Defence Colony, Muradnagar,</t>
  </si>
  <si>
    <t>*******5476</t>
  </si>
  <si>
    <t>Om Prakash Taheem</t>
  </si>
  <si>
    <t>Ram Krishan Taheem</t>
  </si>
  <si>
    <t>Shakti Kh, 405, Indirapuram</t>
  </si>
  <si>
    <t>*******6810</t>
  </si>
  <si>
    <t>Naihpal Singh</t>
  </si>
  <si>
    <t>Teekam Singh (BB Kasana)</t>
  </si>
  <si>
    <t>Gyan Kh-2, 19, G-2, Indirapuram</t>
  </si>
  <si>
    <t>*******8806</t>
  </si>
  <si>
    <t>Harbir Singh</t>
  </si>
  <si>
    <t>Surekha Rani</t>
  </si>
  <si>
    <t>GB5970LA0145</t>
  </si>
  <si>
    <t>Sec-3, Vasundhara</t>
  </si>
  <si>
    <t>*******8034</t>
  </si>
  <si>
    <t>Shyam Lal</t>
  </si>
  <si>
    <t>Sunita Sharma</t>
  </si>
  <si>
    <t>186/5, FF, Vaishali</t>
  </si>
  <si>
    <t>*******3346</t>
  </si>
  <si>
    <t>R.K. Garg</t>
  </si>
  <si>
    <t>Sunita Gupta (Garg)</t>
  </si>
  <si>
    <t>Karkar Model</t>
  </si>
  <si>
    <t>*******0</t>
  </si>
  <si>
    <t>Ramesh Chand</t>
  </si>
  <si>
    <t>Sharda Devi</t>
  </si>
  <si>
    <t>1110, Main Mangal Bazar, Karkar Model, Sahibabad</t>
  </si>
  <si>
    <t>*******0078</t>
  </si>
  <si>
    <t>Narender Singh</t>
  </si>
  <si>
    <t>Saroj Devi</t>
  </si>
  <si>
    <t>Karkar Model, Ghaziabad</t>
  </si>
  <si>
    <t>Prem Pal Singh</t>
  </si>
  <si>
    <t>Santosh Tomar</t>
  </si>
  <si>
    <t>IMPL24019</t>
  </si>
  <si>
    <t>Sec-1, 267/14, Vaishali</t>
  </si>
  <si>
    <t>*******9196</t>
  </si>
  <si>
    <t>Rambeer</t>
  </si>
  <si>
    <t>Sansar Devi</t>
  </si>
  <si>
    <t>GB5970GA0012</t>
  </si>
  <si>
    <t>24/1 Indira Garden, Rajendar Ngr, Mohan Ngr</t>
  </si>
  <si>
    <t>*******9500</t>
  </si>
  <si>
    <t>Moti lal</t>
  </si>
  <si>
    <t>Sahab Singh</t>
  </si>
  <si>
    <t>GB5970LA0052</t>
  </si>
  <si>
    <t>Bowapur Village, 517, Kaushambi</t>
  </si>
  <si>
    <t>*******3389</t>
  </si>
  <si>
    <t>Jaiprakash</t>
  </si>
  <si>
    <t>Rajwati Pal</t>
  </si>
  <si>
    <t>*******1880</t>
  </si>
  <si>
    <t>G.S. Garg</t>
  </si>
  <si>
    <t>RK Garg</t>
  </si>
  <si>
    <t>Sec-5, 10, Avante Garde, Supertech, Vaishali</t>
  </si>
  <si>
    <t>*******0560</t>
  </si>
  <si>
    <t>Late Hukum Singh</t>
  </si>
  <si>
    <t>Madan Pal Singh</t>
  </si>
  <si>
    <t>GB5970LA0005</t>
  </si>
  <si>
    <t>H. No 22, Gali No. 1, Indira Garden, Mohan Nagar, Ghaziabad</t>
  </si>
  <si>
    <t>*******0707</t>
  </si>
  <si>
    <t>Sahab Singh Pal</t>
  </si>
  <si>
    <t>Madhu Pal</t>
  </si>
  <si>
    <t>ESW</t>
  </si>
  <si>
    <t>*******8625</t>
  </si>
  <si>
    <t>Madai Ram</t>
  </si>
  <si>
    <t>Malti Devi</t>
  </si>
  <si>
    <t>723, Street no.1, karkar model, ghaziabad</t>
  </si>
  <si>
    <t>*******0172</t>
  </si>
  <si>
    <t>Satveer</t>
  </si>
  <si>
    <t>Indrawati</t>
  </si>
  <si>
    <t>204 Karkar Model</t>
  </si>
  <si>
    <t>*******8248</t>
  </si>
  <si>
    <t>Ganga Das</t>
  </si>
  <si>
    <t>Hoshiari Devi</t>
  </si>
  <si>
    <t>1-316, Pratap Vihar, Sector-12, Vijay Nagar, Ghaziabad</t>
  </si>
  <si>
    <t>*******2941</t>
  </si>
  <si>
    <t>Ram Rattan Lal</t>
  </si>
  <si>
    <t>Guru Charan Singh</t>
  </si>
  <si>
    <t>GB5970GA0066</t>
  </si>
  <si>
    <t>169, Main Mangal Bazar, Karkar Model, Sahibabad</t>
  </si>
  <si>
    <t>*******5157</t>
  </si>
  <si>
    <t>Natthu Ram</t>
  </si>
  <si>
    <t>Shakti Kh-3, 405, Indirapuram</t>
  </si>
  <si>
    <t>*******7746</t>
  </si>
  <si>
    <t>Teekam Singh</t>
  </si>
  <si>
    <t>Dayawati</t>
  </si>
  <si>
    <t>GB5970LA0060</t>
  </si>
  <si>
    <t>Sec-14, 399, Vasundhara</t>
  </si>
  <si>
    <t>*******3979</t>
  </si>
  <si>
    <t>Late Mahender Singh</t>
  </si>
  <si>
    <t>Bala Devi</t>
  </si>
  <si>
    <t>GB5970GA0003</t>
  </si>
  <si>
    <t>Gyan Kh-1, H. No- SF-1, Plot No-233, Indirapuram</t>
  </si>
  <si>
    <t>*******5037</t>
  </si>
  <si>
    <t>Lt. Madan Lal Rawal</t>
  </si>
  <si>
    <t>Ashok Rawal</t>
  </si>
  <si>
    <t>GB5970GA0051</t>
  </si>
  <si>
    <t>Sec-1, 169, Vaishali</t>
  </si>
  <si>
    <t>*******1798</t>
  </si>
  <si>
    <t>Deshraj Tuli</t>
  </si>
  <si>
    <t>Pervinder Kumar Tuli</t>
  </si>
  <si>
    <t>BADGE ID</t>
  </si>
  <si>
    <t>Mobile No.</t>
  </si>
  <si>
    <t>R/o Village / Town / Locality / District</t>
  </si>
  <si>
    <t>Aadhar No.</t>
  </si>
  <si>
    <t>Age</t>
  </si>
  <si>
    <t>Father's / Husband's Name</t>
  </si>
  <si>
    <t>Name of Sewadar / Sewadarni</t>
  </si>
  <si>
    <t>SR. No.</t>
  </si>
  <si>
    <t xml:space="preserve">(Mention Beas Department or Centre As applicable) </t>
  </si>
  <si>
    <t xml:space="preserve">TO  : </t>
  </si>
  <si>
    <t xml:space="preserve">FROM  : </t>
  </si>
  <si>
    <t>Place of Sewa:</t>
  </si>
  <si>
    <t xml:space="preserve">Vehicle No. : </t>
  </si>
  <si>
    <t>Type of Vehicle:</t>
  </si>
  <si>
    <t xml:space="preserve">Name of Driver: </t>
  </si>
  <si>
    <t>Name of Jathedar:</t>
  </si>
  <si>
    <t xml:space="preserve">ZONE : </t>
  </si>
  <si>
    <t xml:space="preserve">Area : </t>
  </si>
  <si>
    <t>Name of Satsang Place:</t>
  </si>
  <si>
    <t>NOMINAL ROLL SEWA JATHA</t>
  </si>
  <si>
    <t xml:space="preserve">                                      SATSANG CENTRES IN INDIA                  SCI/2020/84</t>
  </si>
  <si>
    <t>Ajay Kumar Sharma</t>
  </si>
  <si>
    <t>Ishwar Dass Sharma</t>
  </si>
  <si>
    <t>*******9872</t>
  </si>
  <si>
    <t>Sec-4, 425, SF, Vaishali</t>
  </si>
  <si>
    <t>GB5970GA0060</t>
  </si>
  <si>
    <t>Anita Kasana</t>
  </si>
  <si>
    <t>Brij Bhushan Kasana</t>
  </si>
  <si>
    <t>*******3065</t>
  </si>
  <si>
    <t>Sec-9, 661, SF, Vasundhara</t>
  </si>
  <si>
    <t>GB5970LA0002</t>
  </si>
  <si>
    <t>Anupama Tuli</t>
  </si>
  <si>
    <t>Parvinder Tuli</t>
  </si>
  <si>
    <t>*******9250</t>
  </si>
  <si>
    <t>GB5970LA0054</t>
  </si>
  <si>
    <t>Beena Devi</t>
  </si>
  <si>
    <t>Ashok Kumar</t>
  </si>
  <si>
    <t>*******8037</t>
  </si>
  <si>
    <t>36, Maharajpur</t>
  </si>
  <si>
    <t>GB5970LA0076</t>
  </si>
  <si>
    <t>Deep Prakash Nayyar</t>
  </si>
  <si>
    <t>Sant Kumar</t>
  </si>
  <si>
    <t>*******7303</t>
  </si>
  <si>
    <t>Sec-11, 358, Vasundhara</t>
  </si>
  <si>
    <t>Geeta Pundir</t>
  </si>
  <si>
    <t>Sh. Lekh Raj Singh Pundir</t>
  </si>
  <si>
    <t>*******5484</t>
  </si>
  <si>
    <t>A-119, Parshwanath Paradise, Mohan Nagar, Ghaziabad</t>
  </si>
  <si>
    <t>GB5970LA0065</t>
  </si>
  <si>
    <t>Kanchan Dhawan</t>
  </si>
  <si>
    <t>Gulshan Dhawan</t>
  </si>
  <si>
    <t>*******2772</t>
  </si>
  <si>
    <t>Sec-12, Friends Colony, 514, FF-12, Vasundhara</t>
  </si>
  <si>
    <t>GB5970LA0071</t>
  </si>
  <si>
    <t>Krishna Nayyar</t>
  </si>
  <si>
    <t>Deep Prakash</t>
  </si>
  <si>
    <t>*******2289</t>
  </si>
  <si>
    <t>Krishna Rani</t>
  </si>
  <si>
    <t>Lt. Deen Dayal</t>
  </si>
  <si>
    <t>*******5742</t>
  </si>
  <si>
    <t>Shakti Kh-2, 110, Flat No. 105, Indirapuram</t>
  </si>
  <si>
    <t>GB5970LA0003</t>
  </si>
  <si>
    <t>Lal Chandra Maurya</t>
  </si>
  <si>
    <t>Ramsukh Maurya</t>
  </si>
  <si>
    <t>*******5230</t>
  </si>
  <si>
    <t>218, Gaur Galaxy, Sector-5, Vaishali</t>
  </si>
  <si>
    <t>GB5970GA0058</t>
  </si>
  <si>
    <t>Lekhraj Pundir</t>
  </si>
  <si>
    <t>Ghanshyam singh</t>
  </si>
  <si>
    <t>*******2490</t>
  </si>
  <si>
    <t>GB5970GA0127</t>
  </si>
  <si>
    <t>Neelam Bharadwaj</t>
  </si>
  <si>
    <t>Mahinder Singh</t>
  </si>
  <si>
    <t>*******7279</t>
  </si>
  <si>
    <t>Sec-17C, 206, Vasundhara</t>
  </si>
  <si>
    <t>Neelam Malhotra</t>
  </si>
  <si>
    <t>Harish Malhotra</t>
  </si>
  <si>
    <t>*******4216</t>
  </si>
  <si>
    <t>Sec-15, 374, Vasundhara</t>
  </si>
  <si>
    <t>IMPL24004</t>
  </si>
  <si>
    <t>Aomwati</t>
  </si>
  <si>
    <t>Puran Chand</t>
  </si>
  <si>
    <t>*******2884</t>
  </si>
  <si>
    <t>Bowapur Village, A/708, Kaushambi</t>
  </si>
  <si>
    <t>GB5970LA0090</t>
  </si>
  <si>
    <t>Priyanka Singh</t>
  </si>
  <si>
    <t>Shailender Singh</t>
  </si>
  <si>
    <t>*******5741</t>
  </si>
  <si>
    <t>H. No. 14, Sector 9, Eklavya Vihar, Vasundhara, Ghaziabad</t>
  </si>
  <si>
    <t>GB5970LA0012</t>
  </si>
  <si>
    <t>Rakesh Jadon</t>
  </si>
  <si>
    <t>Dharam Pal</t>
  </si>
  <si>
    <t>*******1519</t>
  </si>
  <si>
    <t>Sec-2, 1 , Vaishali</t>
  </si>
  <si>
    <t>GB5970LA0100</t>
  </si>
  <si>
    <t>Rashmi Gupta</t>
  </si>
  <si>
    <t>Ratish Mohan Gupta</t>
  </si>
  <si>
    <t>*******0205</t>
  </si>
  <si>
    <t>Sec-17F, 312, Vasundhara</t>
  </si>
  <si>
    <t>GB5970LA0001</t>
  </si>
  <si>
    <t>Satish Kumar</t>
  </si>
  <si>
    <t>Baldev Raj Juneja</t>
  </si>
  <si>
    <t>*******3064</t>
  </si>
  <si>
    <t>Sec-1, F-502, Express Greens, Vaishali</t>
  </si>
  <si>
    <t>GB5970GA0068</t>
  </si>
  <si>
    <t>Seema Chawla</t>
  </si>
  <si>
    <t>Jagdish Chawla</t>
  </si>
  <si>
    <t>*******3027</t>
  </si>
  <si>
    <t>Niti Khand-2, 186, Indirapuram</t>
  </si>
  <si>
    <t>GB5970LA0126</t>
  </si>
  <si>
    <t>Shashi Bala</t>
  </si>
  <si>
    <t>Brahm Singh</t>
  </si>
  <si>
    <t>*******0023</t>
  </si>
  <si>
    <t>Sec-9, 661, Vasundhara</t>
  </si>
  <si>
    <t>GB5970LA0015</t>
  </si>
  <si>
    <t>Shimla Devi</t>
  </si>
  <si>
    <t>Dr. Jaiveer</t>
  </si>
  <si>
    <t>*******9176</t>
  </si>
  <si>
    <t>Sec-2, Vasundhara</t>
  </si>
  <si>
    <t>GB5970LA0109</t>
  </si>
  <si>
    <t>Sita Devi</t>
  </si>
  <si>
    <t>Ram Das Lalwani</t>
  </si>
  <si>
    <t>*******0734</t>
  </si>
  <si>
    <t>Sec-2, Ashirwad Colony, Vaishali</t>
  </si>
  <si>
    <t>IMPL24023</t>
  </si>
  <si>
    <t>Sunita Raj</t>
  </si>
  <si>
    <t>Raja Ram Singh</t>
  </si>
  <si>
    <t>*******8924</t>
  </si>
  <si>
    <t>723, Gali No. 1, Inderprastha, Karkar Model, Sahibabad</t>
  </si>
  <si>
    <t>GB5970LA0078</t>
  </si>
  <si>
    <t>Urmila Singh Tomar</t>
  </si>
  <si>
    <t>Lt. Shambhu Singh</t>
  </si>
  <si>
    <t>*******1839</t>
  </si>
  <si>
    <t>Sec-2, 1 Ashirwad, Vaishali</t>
  </si>
  <si>
    <t>GB5970LA0099</t>
  </si>
  <si>
    <t>Bharat Bhushan</t>
  </si>
  <si>
    <t>Mangat Ram Pal</t>
  </si>
  <si>
    <t>Richa</t>
  </si>
  <si>
    <t>Saroj Mathur</t>
  </si>
  <si>
    <t xml:space="preserve">Date : 29.04.2026  </t>
  </si>
  <si>
    <t>Contact No.    :   9818296894</t>
  </si>
  <si>
    <t>Date :  29/04/2026</t>
  </si>
  <si>
    <t>Contact No.   :  9811162645</t>
  </si>
  <si>
    <t>Brij Bhushan</t>
  </si>
  <si>
    <t>Mam Chand Kasana</t>
  </si>
  <si>
    <t>*******6201</t>
  </si>
  <si>
    <t>661, 2nd Floor, Sector- 9, Vasundhara</t>
  </si>
  <si>
    <t>GB5970GA0046</t>
  </si>
  <si>
    <t>Arun Singh Parihar</t>
  </si>
  <si>
    <t>SN Aarihar</t>
  </si>
  <si>
    <t>*******2964</t>
  </si>
  <si>
    <t>11, 2, Block 9, Rajendra Nagar, Sahibabad</t>
  </si>
  <si>
    <t>GB5970GA0129</t>
  </si>
  <si>
    <t>Devki Nandan</t>
  </si>
  <si>
    <t>Chotu Ram</t>
  </si>
  <si>
    <t>*******4928</t>
  </si>
  <si>
    <t>336-B, Shakti Khand-1, Indirapuram, Ghaziabad</t>
  </si>
  <si>
    <t>GB5970GA0113</t>
  </si>
  <si>
    <t>Gaya Prasad</t>
  </si>
  <si>
    <t>Ram Pal</t>
  </si>
  <si>
    <t>*******2555</t>
  </si>
  <si>
    <t>Sec-3, A-54, Rachna, Vaishali, Ghaziabad</t>
  </si>
  <si>
    <t>Meenu Sharma</t>
  </si>
  <si>
    <t>K.C. Sharma</t>
  </si>
  <si>
    <t>*******1604</t>
  </si>
  <si>
    <t>Sec-11, 792, Vasundhara</t>
  </si>
  <si>
    <t>Narender Kumar Pal</t>
  </si>
  <si>
    <t>Harkesh Singh</t>
  </si>
  <si>
    <t>*******3325</t>
  </si>
  <si>
    <t>Sec-3, 1201, Vasundhara</t>
  </si>
  <si>
    <t>GB5970GA0095</t>
  </si>
  <si>
    <t>Naveen Kumar</t>
  </si>
  <si>
    <t>Likhi Ram</t>
  </si>
  <si>
    <t>*******4457</t>
  </si>
  <si>
    <t>Sec-1, 431 Vaishali</t>
  </si>
  <si>
    <t>Ram Das</t>
  </si>
  <si>
    <t>Suggu Mal</t>
  </si>
  <si>
    <t>*******2940</t>
  </si>
  <si>
    <t>Sec-2, C-4, Ashirwad Society, Vaishali</t>
  </si>
  <si>
    <t>Sanjay Kumar</t>
  </si>
  <si>
    <t>Prakash Chand</t>
  </si>
  <si>
    <t>*******2718</t>
  </si>
  <si>
    <t>Niti Kh-3, 474, Indirapuram</t>
  </si>
  <si>
    <t>GB5970GA0117</t>
  </si>
  <si>
    <t>Sona Devi</t>
  </si>
  <si>
    <t>Rajpal Singh</t>
  </si>
  <si>
    <t>*******2070</t>
  </si>
  <si>
    <t>Nyay Kh-2, Srijan Vihar, J-35, Indirapuram</t>
  </si>
  <si>
    <t>Reeta</t>
  </si>
  <si>
    <t>Budhi Ram</t>
  </si>
  <si>
    <t>*******2762</t>
  </si>
  <si>
    <t>Bhopura, B-478, Gali No. 6, Gzb</t>
  </si>
  <si>
    <t>GB5970LA0079</t>
  </si>
  <si>
    <t>Chanchal Pal</t>
  </si>
  <si>
    <t>Sat Pal</t>
  </si>
  <si>
    <t>*******6851</t>
  </si>
  <si>
    <t>Badli, Rohini, Delhi, India</t>
  </si>
  <si>
    <t>GZB/UP/175/010/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</si>
</sst>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ptos Narrow"/>
      <scheme val="minor"/>
    </font>
    <font>
      <sz val="10"/>
      <name val="Arial"/>
      <family val="2"/>
    </font>
    <font>
      <b/>
      <sz val="12"/>
      <name val="Calibri"/>
      <family val="2"/>
    </font>
    <font>
      <sz val="11"/>
      <name val="Calibri"/>
      <family val="2"/>
    </font>
    <font>
      <b/>
      <sz val="12"/>
      <color rgb="FF000000"/>
      <name val="Calibri"/>
      <family val="2"/>
    </font>
    <font>
      <b/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4" xfId="0" applyFont="1" applyBorder="1"/>
    <xf numFmtId="0" fontId="1" fillId="0" borderId="10" xfId="0" applyFont="1" applyBorder="1"/>
    <xf numFmtId="0" fontId="1" fillId="0" borderId="13" xfId="0" applyFont="1" applyBorder="1"/>
    <xf numFmtId="0" fontId="1" fillId="0" borderId="0" xfId="0" applyFont="1"/>
    <xf numFmtId="0" fontId="2" fillId="0" borderId="0" xfId="0" applyFont="1" applyAlignment="1">
      <alignment horizontal="center" wrapText="1"/>
    </xf>
    <xf numFmtId="0" fontId="1" fillId="0" borderId="14" xfId="0" applyFont="1" applyBorder="1"/>
    <xf numFmtId="0" fontId="2" fillId="0" borderId="0" xfId="0" applyFont="1" applyAlignment="1">
      <alignment horizontal="center"/>
    </xf>
    <xf numFmtId="0" fontId="2" fillId="0" borderId="15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49" fontId="2" fillId="0" borderId="17" xfId="0" applyNumberFormat="1" applyFont="1" applyBorder="1" applyAlignment="1">
      <alignment horizontal="center" vertical="center" wrapText="1"/>
    </xf>
    <xf numFmtId="49" fontId="2" fillId="0" borderId="18" xfId="0" applyNumberFormat="1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vertical="top"/>
    </xf>
    <xf numFmtId="14" fontId="5" fillId="0" borderId="20" xfId="0" applyNumberFormat="1" applyFont="1" applyBorder="1" applyAlignment="1">
      <alignment horizontal="left" vertical="center"/>
    </xf>
    <xf numFmtId="0" fontId="2" fillId="0" borderId="20" xfId="0" applyFont="1" applyBorder="1" applyAlignment="1">
      <alignment vertical="center"/>
    </xf>
    <xf numFmtId="0" fontId="2" fillId="0" borderId="20" xfId="0" applyFont="1" applyBorder="1" applyAlignment="1">
      <alignment horizontal="left" vertical="center"/>
    </xf>
    <xf numFmtId="0" fontId="4" fillId="0" borderId="13" xfId="0" applyFont="1" applyBorder="1" applyAlignment="1">
      <alignment vertical="top"/>
    </xf>
    <xf numFmtId="0" fontId="4" fillId="0" borderId="0" xfId="0" applyFont="1" applyAlignment="1">
      <alignment vertical="top"/>
    </xf>
    <xf numFmtId="0" fontId="4" fillId="0" borderId="14" xfId="0" applyFont="1" applyBorder="1" applyAlignment="1">
      <alignment vertical="top"/>
    </xf>
    <xf numFmtId="0" fontId="2" fillId="0" borderId="20" xfId="0" applyFont="1" applyBorder="1" applyAlignment="1">
      <alignment horizontal="center" vertical="center" wrapText="1"/>
    </xf>
    <xf numFmtId="0" fontId="1" fillId="0" borderId="20" xfId="0" applyFont="1" applyBorder="1"/>
    <xf numFmtId="0" fontId="4" fillId="0" borderId="20" xfId="0" applyFont="1" applyBorder="1" applyAlignment="1">
      <alignment horizontal="center" vertical="top"/>
    </xf>
    <xf numFmtId="0" fontId="2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1" fillId="0" borderId="20" xfId="0" applyFont="1" applyBorder="1" applyAlignment="1">
      <alignment horizontal="center"/>
    </xf>
    <xf numFmtId="0" fontId="2" fillId="0" borderId="20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center"/>
    </xf>
    <xf numFmtId="0" fontId="0" fillId="0" borderId="0" xfId="0"/>
    <xf numFmtId="0" fontId="2" fillId="2" borderId="12" xfId="0" applyFont="1" applyFill="1" applyBorder="1" applyAlignment="1">
      <alignment wrapText="1"/>
    </xf>
    <xf numFmtId="0" fontId="1" fillId="0" borderId="8" xfId="0" applyFont="1" applyBorder="1"/>
    <xf numFmtId="0" fontId="1" fillId="0" borderId="11" xfId="0" applyFont="1" applyBorder="1"/>
    <xf numFmtId="0" fontId="2" fillId="2" borderId="9" xfId="0" applyFont="1" applyFill="1" applyBorder="1" applyAlignment="1">
      <alignment wrapText="1"/>
    </xf>
    <xf numFmtId="0" fontId="1" fillId="0" borderId="7" xfId="0" applyFont="1" applyBorder="1"/>
    <xf numFmtId="0" fontId="2" fillId="2" borderId="6" xfId="0" applyFont="1" applyFill="1" applyBorder="1" applyAlignment="1">
      <alignment wrapText="1"/>
    </xf>
    <xf numFmtId="0" fontId="1" fillId="0" borderId="2" xfId="0" applyFont="1" applyBorder="1"/>
    <xf numFmtId="0" fontId="1" fillId="0" borderId="5" xfId="0" applyFont="1" applyBorder="1"/>
    <xf numFmtId="0" fontId="2" fillId="2" borderId="3" xfId="0" applyFont="1" applyFill="1" applyBorder="1" applyAlignment="1">
      <alignment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admin/Downloads/VR/NR%20Converter/NR%20Convertor%20V4%20(4th%20Feb%2026).xlsx" TargetMode="External"/><Relationship Id="rId1" Type="http://schemas.openxmlformats.org/officeDocument/2006/relationships/externalLinkPath" Target="file:///C:/Users/admin/Downloads/VR/NR%20Converter/NR%20Convertor%20V4%20(4th%20Feb%20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. Pasted app &quot;NR&quot; Date Here"/>
      <sheetName val="2. Jatha Links"/>
      <sheetName val="3. Copy Paste Here for Print"/>
    </sheetNames>
    <sheetDataSet>
      <sheetData sheetId="0">
        <row r="2">
          <cell r="J2" t="str">
            <v>Indirapuram</v>
          </cell>
          <cell r="L2" t="str">
            <v>Train</v>
          </cell>
          <cell r="M2" t="str">
            <v>Beas</v>
          </cell>
          <cell r="N2" t="str">
            <v>Ghaziabad</v>
          </cell>
          <cell r="Q2">
            <v>46148</v>
          </cell>
          <cell r="R2">
            <v>46152</v>
          </cell>
          <cell r="S2" t="str">
            <v>Construction</v>
          </cell>
          <cell r="T2" t="str">
            <v>III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568FD-D01C-426E-9938-2608F27FAED3}">
  <sheetPr>
    <outlinePr summaryBelow="0" summaryRight="0"/>
    <pageSetUpPr fitToPage="1"/>
  </sheetPr>
  <dimension ref="A1:I98"/>
  <sheetViews>
    <sheetView showGridLines="0" tabSelected="1" workbookViewId="0">
      <selection activeCell="E17" sqref="E17"/>
    </sheetView>
  </sheetViews>
  <sheetFormatPr baseColWidth="10" defaultColWidth="14.3984375" defaultRowHeight="15" customHeight="1" x14ac:dyDescent="0.2"/>
  <cols>
    <col min="1" max="1" width="12.796875" customWidth="1"/>
    <col min="2" max="2" width="17.796875" customWidth="1"/>
    <col min="3" max="3" width="20" customWidth="1"/>
    <col min="4" max="5" width="5.19921875" customWidth="1"/>
    <col min="6" max="6" width="17.3984375" customWidth="1"/>
    <col min="7" max="7" width="27.59765625" customWidth="1"/>
    <col min="8" max="8" width="19" customWidth="1"/>
    <col min="9" max="9" width="17" customWidth="1"/>
    <col min="10" max="10" width="12.796875" customWidth="1"/>
  </cols>
  <sheetData>
    <row r="1" spans="1:9" ht="20.25" customHeight="1" x14ac:dyDescent="0.2">
      <c r="A1" s="23" t="s">
        <v>159</v>
      </c>
      <c r="B1" s="24"/>
      <c r="C1" s="24"/>
      <c r="D1" s="24"/>
      <c r="E1" s="24"/>
      <c r="F1" s="24"/>
      <c r="G1" s="24"/>
      <c r="H1" s="24"/>
      <c r="I1" s="24"/>
    </row>
    <row r="2" spans="1:9" ht="14.25" customHeight="1" x14ac:dyDescent="0.2">
      <c r="A2" s="25" t="s">
        <v>158</v>
      </c>
      <c r="B2" s="24"/>
      <c r="C2" s="24"/>
      <c r="D2" s="24"/>
      <c r="E2" s="24"/>
      <c r="F2" s="24"/>
      <c r="G2" s="24"/>
      <c r="H2" s="24"/>
      <c r="I2" s="24"/>
    </row>
    <row r="3" spans="1:9" ht="15" customHeight="1" x14ac:dyDescent="0.2">
      <c r="A3" s="26" t="s">
        <v>336</v>
      </c>
      <c r="B3" s="24"/>
      <c r="C3" s="24"/>
      <c r="D3" s="24"/>
      <c r="E3" s="24"/>
      <c r="F3" s="24"/>
      <c r="G3" s="24"/>
      <c r="H3" s="24"/>
      <c r="I3" s="24"/>
    </row>
    <row r="4" spans="1:9" ht="14.25" customHeight="1" x14ac:dyDescent="0.2">
      <c r="A4" s="22"/>
      <c r="B4" s="21"/>
      <c r="C4" s="21"/>
      <c r="D4" s="21"/>
      <c r="E4" s="21"/>
      <c r="F4" s="21"/>
      <c r="G4" s="21"/>
      <c r="H4" s="21"/>
      <c r="I4" s="20"/>
    </row>
    <row r="5" spans="1:9" ht="21" customHeight="1" x14ac:dyDescent="0.2">
      <c r="A5" s="27" t="s">
        <v>157</v>
      </c>
      <c r="B5" s="24"/>
      <c r="C5" s="27" t="str">
        <f>'[1]1. Pasted app "NR" Date Here'!J2</f>
        <v>Indirapuram</v>
      </c>
      <c r="D5" s="24"/>
      <c r="E5" s="24"/>
      <c r="F5" s="19" t="s">
        <v>156</v>
      </c>
      <c r="G5" s="19" t="str">
        <f>'[1]1. Pasted app "NR" Date Here'!N2</f>
        <v>Ghaziabad</v>
      </c>
      <c r="H5" s="18" t="s">
        <v>155</v>
      </c>
      <c r="I5" s="19" t="str">
        <f>'[1]1. Pasted app "NR" Date Here'!T2</f>
        <v>III</v>
      </c>
    </row>
    <row r="6" spans="1:9" ht="21" customHeight="1" x14ac:dyDescent="0.2">
      <c r="A6" s="27" t="s">
        <v>154</v>
      </c>
      <c r="B6" s="24"/>
      <c r="C6" s="27" t="s">
        <v>138</v>
      </c>
      <c r="D6" s="24"/>
      <c r="E6" s="24"/>
      <c r="F6" s="19" t="s">
        <v>153</v>
      </c>
      <c r="G6" s="28"/>
      <c r="H6" s="24"/>
      <c r="I6" s="24"/>
    </row>
    <row r="7" spans="1:9" ht="21" customHeight="1" x14ac:dyDescent="0.2">
      <c r="A7" s="27" t="s">
        <v>152</v>
      </c>
      <c r="B7" s="24"/>
      <c r="C7" s="27" t="str">
        <f>'[1]1. Pasted app "NR" Date Here'!L2</f>
        <v>Train</v>
      </c>
      <c r="D7" s="24"/>
      <c r="E7" s="24"/>
      <c r="F7" s="19" t="s">
        <v>151</v>
      </c>
      <c r="G7" s="28"/>
      <c r="H7" s="24"/>
      <c r="I7" s="24"/>
    </row>
    <row r="8" spans="1:9" ht="21" customHeight="1" x14ac:dyDescent="0.2">
      <c r="A8" s="27" t="s">
        <v>150</v>
      </c>
      <c r="B8" s="24"/>
      <c r="C8" s="27" t="str">
        <f>'[1]1. Pasted app "NR" Date Here'!M2</f>
        <v>Beas</v>
      </c>
      <c r="D8" s="24"/>
      <c r="E8" s="24"/>
      <c r="F8" s="19" t="s">
        <v>149</v>
      </c>
      <c r="G8" s="17">
        <f>'[1]1. Pasted app "NR" Date Here'!Q2</f>
        <v>46148</v>
      </c>
      <c r="H8" s="18" t="s">
        <v>148</v>
      </c>
      <c r="I8" s="17">
        <v>46152</v>
      </c>
    </row>
    <row r="9" spans="1:9" ht="21" customHeight="1" x14ac:dyDescent="0.2">
      <c r="A9" s="27" t="s">
        <v>147</v>
      </c>
      <c r="B9" s="24"/>
      <c r="C9" s="24"/>
      <c r="D9" s="24"/>
      <c r="E9" s="24"/>
      <c r="F9" s="24"/>
      <c r="G9" s="29" t="str">
        <f>'[1]1. Pasted app "NR" Date Here'!S2</f>
        <v>Construction</v>
      </c>
      <c r="H9" s="24"/>
      <c r="I9" s="24"/>
    </row>
    <row r="10" spans="1:9" ht="14.25" customHeight="1" x14ac:dyDescent="0.2">
      <c r="A10" s="25"/>
      <c r="B10" s="24"/>
      <c r="C10" s="24"/>
      <c r="D10" s="24"/>
      <c r="E10" s="24"/>
      <c r="F10" s="24"/>
      <c r="G10" s="24"/>
      <c r="H10" s="24"/>
      <c r="I10" s="16"/>
    </row>
    <row r="11" spans="1:9" ht="30" customHeight="1" x14ac:dyDescent="0.2">
      <c r="A11" s="15" t="s">
        <v>146</v>
      </c>
      <c r="B11" s="14" t="s">
        <v>145</v>
      </c>
      <c r="C11" s="14" t="s">
        <v>144</v>
      </c>
      <c r="D11" s="14" t="s">
        <v>14</v>
      </c>
      <c r="E11" s="14" t="s">
        <v>143</v>
      </c>
      <c r="F11" s="14" t="s">
        <v>142</v>
      </c>
      <c r="G11" s="14" t="s">
        <v>141</v>
      </c>
      <c r="H11" s="13" t="s">
        <v>140</v>
      </c>
      <c r="I11" s="12" t="s">
        <v>139</v>
      </c>
    </row>
    <row r="12" spans="1:9" ht="30" customHeight="1" x14ac:dyDescent="0.2">
      <c r="A12" s="10">
        <v>1</v>
      </c>
      <c r="B12" s="9" t="s">
        <v>138</v>
      </c>
      <c r="C12" s="9" t="s">
        <v>137</v>
      </c>
      <c r="D12" s="9" t="s">
        <v>18</v>
      </c>
      <c r="E12" s="9">
        <v>66</v>
      </c>
      <c r="F12" s="9" t="s">
        <v>136</v>
      </c>
      <c r="G12" s="9" t="s">
        <v>135</v>
      </c>
      <c r="H12" s="9">
        <v>9811162645</v>
      </c>
      <c r="I12" s="8" t="s">
        <v>134</v>
      </c>
    </row>
    <row r="13" spans="1:9" ht="30" customHeight="1" x14ac:dyDescent="0.2">
      <c r="A13" s="10">
        <f t="shared" ref="A13:A45" si="0">A12+1</f>
        <v>2</v>
      </c>
      <c r="B13" s="9" t="s">
        <v>133</v>
      </c>
      <c r="C13" s="9" t="s">
        <v>132</v>
      </c>
      <c r="D13" s="9" t="s">
        <v>18</v>
      </c>
      <c r="E13" s="9">
        <v>65</v>
      </c>
      <c r="F13" s="9" t="s">
        <v>131</v>
      </c>
      <c r="G13" s="9" t="s">
        <v>130</v>
      </c>
      <c r="H13" s="9">
        <v>9313990139</v>
      </c>
      <c r="I13" s="8" t="s">
        <v>129</v>
      </c>
    </row>
    <row r="14" spans="1:9" ht="30" customHeight="1" x14ac:dyDescent="0.2">
      <c r="A14" s="10">
        <f t="shared" si="0"/>
        <v>3</v>
      </c>
      <c r="B14" s="9" t="s">
        <v>128</v>
      </c>
      <c r="C14" s="9" t="s">
        <v>127</v>
      </c>
      <c r="D14" s="9" t="s">
        <v>14</v>
      </c>
      <c r="E14" s="9">
        <v>68</v>
      </c>
      <c r="F14" s="9" t="s">
        <v>126</v>
      </c>
      <c r="G14" s="9" t="s">
        <v>125</v>
      </c>
      <c r="H14" s="9">
        <v>7827394948</v>
      </c>
      <c r="I14" s="8" t="s">
        <v>124</v>
      </c>
    </row>
    <row r="15" spans="1:9" ht="30" customHeight="1" x14ac:dyDescent="0.2">
      <c r="A15" s="10">
        <f t="shared" si="0"/>
        <v>4</v>
      </c>
      <c r="B15" s="9" t="s">
        <v>123</v>
      </c>
      <c r="C15" s="9" t="s">
        <v>122</v>
      </c>
      <c r="D15" s="9" t="s">
        <v>14</v>
      </c>
      <c r="E15" s="9">
        <v>67</v>
      </c>
      <c r="F15" s="9" t="s">
        <v>121</v>
      </c>
      <c r="G15" s="9" t="s">
        <v>120</v>
      </c>
      <c r="H15" s="9">
        <v>9311370001</v>
      </c>
      <c r="I15" s="8" t="s">
        <v>10</v>
      </c>
    </row>
    <row r="16" spans="1:9" ht="30" customHeight="1" x14ac:dyDescent="0.2">
      <c r="A16" s="10">
        <f t="shared" si="0"/>
        <v>5</v>
      </c>
      <c r="B16" s="9" t="s">
        <v>110</v>
      </c>
      <c r="C16" s="9" t="s">
        <v>119</v>
      </c>
      <c r="D16" s="9" t="s">
        <v>18</v>
      </c>
      <c r="E16" s="9">
        <v>72</v>
      </c>
      <c r="F16" s="9" t="s">
        <v>118</v>
      </c>
      <c r="G16" s="9" t="s">
        <v>117</v>
      </c>
      <c r="H16" s="9">
        <v>9718110720</v>
      </c>
      <c r="I16" s="8" t="s">
        <v>116</v>
      </c>
    </row>
    <row r="17" spans="1:9" ht="30" customHeight="1" x14ac:dyDescent="0.2">
      <c r="A17" s="10">
        <f t="shared" si="0"/>
        <v>6</v>
      </c>
      <c r="B17" s="9" t="s">
        <v>115</v>
      </c>
      <c r="C17" s="9" t="s">
        <v>114</v>
      </c>
      <c r="D17" s="9" t="s">
        <v>18</v>
      </c>
      <c r="E17" s="9">
        <v>67</v>
      </c>
      <c r="F17" s="9" t="s">
        <v>113</v>
      </c>
      <c r="G17" s="9" t="s">
        <v>112</v>
      </c>
      <c r="H17" s="9">
        <v>8447882782</v>
      </c>
      <c r="I17" s="8" t="s">
        <v>10</v>
      </c>
    </row>
    <row r="18" spans="1:9" ht="30" customHeight="1" x14ac:dyDescent="0.2">
      <c r="A18" s="10">
        <f t="shared" si="0"/>
        <v>7</v>
      </c>
      <c r="B18" s="9" t="s">
        <v>111</v>
      </c>
      <c r="C18" s="9" t="s">
        <v>110</v>
      </c>
      <c r="D18" s="9" t="s">
        <v>14</v>
      </c>
      <c r="E18" s="9">
        <v>69</v>
      </c>
      <c r="F18" s="9" t="s">
        <v>109</v>
      </c>
      <c r="G18" s="9" t="s">
        <v>108</v>
      </c>
      <c r="H18" s="9">
        <v>9268502812</v>
      </c>
      <c r="I18" s="8" t="s">
        <v>10</v>
      </c>
    </row>
    <row r="19" spans="1:9" ht="30" customHeight="1" x14ac:dyDescent="0.2">
      <c r="A19" s="10">
        <f t="shared" si="0"/>
        <v>8</v>
      </c>
      <c r="B19" s="9" t="s">
        <v>107</v>
      </c>
      <c r="C19" s="9" t="s">
        <v>106</v>
      </c>
      <c r="D19" s="9" t="s">
        <v>14</v>
      </c>
      <c r="E19" s="9">
        <v>49</v>
      </c>
      <c r="F19" s="9" t="s">
        <v>105</v>
      </c>
      <c r="G19" s="9" t="s">
        <v>104</v>
      </c>
      <c r="H19" s="9">
        <v>9354163014</v>
      </c>
      <c r="I19" s="8" t="s">
        <v>10</v>
      </c>
    </row>
    <row r="20" spans="1:9" ht="30" customHeight="1" x14ac:dyDescent="0.2">
      <c r="A20" s="10">
        <f t="shared" si="0"/>
        <v>9</v>
      </c>
      <c r="B20" s="9" t="s">
        <v>103</v>
      </c>
      <c r="C20" s="9" t="s">
        <v>102</v>
      </c>
      <c r="D20" s="9" t="s">
        <v>14</v>
      </c>
      <c r="E20" s="9">
        <v>77</v>
      </c>
      <c r="F20" s="9" t="s">
        <v>101</v>
      </c>
      <c r="G20" s="9" t="s">
        <v>37</v>
      </c>
      <c r="H20" s="9">
        <v>9953811145</v>
      </c>
      <c r="I20" s="8" t="s">
        <v>100</v>
      </c>
    </row>
    <row r="21" spans="1:9" ht="30" customHeight="1" x14ac:dyDescent="0.2">
      <c r="A21" s="10">
        <f t="shared" si="0"/>
        <v>10</v>
      </c>
      <c r="B21" s="9" t="s">
        <v>99</v>
      </c>
      <c r="C21" s="9" t="s">
        <v>98</v>
      </c>
      <c r="D21" s="9" t="s">
        <v>14</v>
      </c>
      <c r="E21" s="9">
        <v>61</v>
      </c>
      <c r="F21" s="9" t="s">
        <v>97</v>
      </c>
      <c r="G21" s="9" t="s">
        <v>96</v>
      </c>
      <c r="H21" s="9">
        <v>9716288795</v>
      </c>
      <c r="I21" s="8" t="s">
        <v>95</v>
      </c>
    </row>
    <row r="22" spans="1:9" ht="30" customHeight="1" x14ac:dyDescent="0.2">
      <c r="A22" s="10">
        <f t="shared" si="0"/>
        <v>11</v>
      </c>
      <c r="B22" s="9" t="s">
        <v>94</v>
      </c>
      <c r="C22" s="9" t="s">
        <v>93</v>
      </c>
      <c r="D22" s="9" t="s">
        <v>18</v>
      </c>
      <c r="E22" s="9">
        <v>67</v>
      </c>
      <c r="F22" s="9" t="s">
        <v>92</v>
      </c>
      <c r="G22" s="9" t="s">
        <v>91</v>
      </c>
      <c r="H22" s="9">
        <v>8700672297</v>
      </c>
      <c r="I22" s="8" t="s">
        <v>10</v>
      </c>
    </row>
    <row r="23" spans="1:9" ht="30" customHeight="1" x14ac:dyDescent="0.2">
      <c r="A23" s="10">
        <f t="shared" si="0"/>
        <v>12</v>
      </c>
      <c r="B23" s="9" t="s">
        <v>90</v>
      </c>
      <c r="C23" s="9" t="s">
        <v>89</v>
      </c>
      <c r="D23" s="9" t="s">
        <v>18</v>
      </c>
      <c r="E23" s="9">
        <v>69</v>
      </c>
      <c r="F23" s="9" t="s">
        <v>88</v>
      </c>
      <c r="G23" s="9" t="s">
        <v>58</v>
      </c>
      <c r="H23" s="9">
        <v>9211215081</v>
      </c>
      <c r="I23" s="8" t="s">
        <v>10</v>
      </c>
    </row>
    <row r="24" spans="1:9" ht="30" customHeight="1" x14ac:dyDescent="0.2">
      <c r="A24" s="10">
        <f t="shared" si="0"/>
        <v>13</v>
      </c>
      <c r="B24" s="9" t="s">
        <v>87</v>
      </c>
      <c r="C24" s="9" t="s">
        <v>86</v>
      </c>
      <c r="D24" s="9" t="s">
        <v>14</v>
      </c>
      <c r="E24" s="9">
        <v>61</v>
      </c>
      <c r="F24" s="9" t="s">
        <v>85</v>
      </c>
      <c r="G24" s="9" t="s">
        <v>84</v>
      </c>
      <c r="H24" s="9">
        <v>9625158604</v>
      </c>
      <c r="I24" s="8" t="s">
        <v>83</v>
      </c>
    </row>
    <row r="25" spans="1:9" ht="30" customHeight="1" x14ac:dyDescent="0.2">
      <c r="A25" s="10">
        <f t="shared" si="0"/>
        <v>14</v>
      </c>
      <c r="B25" s="9" t="s">
        <v>82</v>
      </c>
      <c r="C25" s="9" t="s">
        <v>81</v>
      </c>
      <c r="D25" s="9" t="s">
        <v>18</v>
      </c>
      <c r="E25" s="9">
        <v>63</v>
      </c>
      <c r="F25" s="9" t="s">
        <v>80</v>
      </c>
      <c r="G25" s="9" t="s">
        <v>79</v>
      </c>
      <c r="H25" s="9">
        <v>8800658139</v>
      </c>
      <c r="I25" s="8" t="s">
        <v>78</v>
      </c>
    </row>
    <row r="26" spans="1:9" ht="30" customHeight="1" x14ac:dyDescent="0.2">
      <c r="A26" s="10">
        <f t="shared" si="0"/>
        <v>15</v>
      </c>
      <c r="B26" s="9" t="s">
        <v>77</v>
      </c>
      <c r="C26" s="9" t="s">
        <v>76</v>
      </c>
      <c r="D26" s="9" t="s">
        <v>14</v>
      </c>
      <c r="E26" s="9">
        <v>70</v>
      </c>
      <c r="F26" s="9" t="s">
        <v>75</v>
      </c>
      <c r="G26" s="9" t="s">
        <v>74</v>
      </c>
      <c r="H26" s="9">
        <v>7042749431</v>
      </c>
      <c r="I26" s="8" t="s">
        <v>73</v>
      </c>
    </row>
    <row r="27" spans="1:9" ht="30" customHeight="1" x14ac:dyDescent="0.2">
      <c r="A27" s="10">
        <f t="shared" si="0"/>
        <v>16</v>
      </c>
      <c r="B27" s="9" t="s">
        <v>72</v>
      </c>
      <c r="C27" s="9" t="s">
        <v>71</v>
      </c>
      <c r="D27" s="9" t="s">
        <v>14</v>
      </c>
      <c r="E27" s="9">
        <v>0</v>
      </c>
      <c r="F27" s="9" t="s">
        <v>63</v>
      </c>
      <c r="G27" s="9" t="s">
        <v>70</v>
      </c>
      <c r="H27" s="9">
        <v>7042352038</v>
      </c>
      <c r="I27" s="8" t="s">
        <v>10</v>
      </c>
    </row>
    <row r="28" spans="1:9" ht="30" customHeight="1" x14ac:dyDescent="0.2">
      <c r="A28" s="10">
        <f t="shared" si="0"/>
        <v>17</v>
      </c>
      <c r="B28" s="9" t="s">
        <v>69</v>
      </c>
      <c r="C28" s="9" t="s">
        <v>68</v>
      </c>
      <c r="D28" s="9" t="s">
        <v>14</v>
      </c>
      <c r="E28" s="9">
        <v>55</v>
      </c>
      <c r="F28" s="9" t="s">
        <v>67</v>
      </c>
      <c r="G28" s="9" t="s">
        <v>66</v>
      </c>
      <c r="H28" s="9">
        <v>7042352038</v>
      </c>
      <c r="I28" s="8" t="s">
        <v>10</v>
      </c>
    </row>
    <row r="29" spans="1:9" ht="30" customHeight="1" x14ac:dyDescent="0.2">
      <c r="A29" s="10">
        <f t="shared" si="0"/>
        <v>18</v>
      </c>
      <c r="B29" s="9" t="s">
        <v>65</v>
      </c>
      <c r="C29" s="9" t="s">
        <v>64</v>
      </c>
      <c r="D29" s="9" t="s">
        <v>14</v>
      </c>
      <c r="E29" s="9">
        <v>0</v>
      </c>
      <c r="F29" s="9" t="s">
        <v>63</v>
      </c>
      <c r="G29" s="9" t="s">
        <v>62</v>
      </c>
      <c r="H29" s="9">
        <v>8745893064</v>
      </c>
      <c r="I29" s="8" t="s">
        <v>10</v>
      </c>
    </row>
    <row r="30" spans="1:9" ht="30" customHeight="1" x14ac:dyDescent="0.2">
      <c r="A30" s="10">
        <f t="shared" si="0"/>
        <v>19</v>
      </c>
      <c r="B30" s="9" t="s">
        <v>61</v>
      </c>
      <c r="C30" s="9" t="s">
        <v>60</v>
      </c>
      <c r="D30" s="9" t="s">
        <v>14</v>
      </c>
      <c r="E30" s="9">
        <v>69</v>
      </c>
      <c r="F30" s="9" t="s">
        <v>59</v>
      </c>
      <c r="G30" s="9" t="s">
        <v>58</v>
      </c>
      <c r="H30" s="9">
        <v>9599301693</v>
      </c>
      <c r="I30" s="8" t="s">
        <v>10</v>
      </c>
    </row>
    <row r="31" spans="1:9" ht="30" customHeight="1" x14ac:dyDescent="0.2">
      <c r="A31" s="10">
        <f t="shared" si="0"/>
        <v>20</v>
      </c>
      <c r="B31" s="9" t="s">
        <v>57</v>
      </c>
      <c r="C31" s="9" t="s">
        <v>56</v>
      </c>
      <c r="D31" s="9" t="s">
        <v>14</v>
      </c>
      <c r="E31" s="9">
        <v>55</v>
      </c>
      <c r="F31" s="9" t="s">
        <v>55</v>
      </c>
      <c r="G31" s="9" t="s">
        <v>54</v>
      </c>
      <c r="H31" s="9">
        <v>8588098242</v>
      </c>
      <c r="I31" s="8" t="s">
        <v>53</v>
      </c>
    </row>
    <row r="32" spans="1:9" ht="30" customHeight="1" x14ac:dyDescent="0.2">
      <c r="A32" s="10">
        <f t="shared" si="0"/>
        <v>21</v>
      </c>
      <c r="B32" s="9" t="s">
        <v>52</v>
      </c>
      <c r="C32" s="9" t="s">
        <v>51</v>
      </c>
      <c r="D32" s="9" t="s">
        <v>14</v>
      </c>
      <c r="E32" s="9">
        <v>56</v>
      </c>
      <c r="F32" s="9" t="s">
        <v>50</v>
      </c>
      <c r="G32" s="9" t="s">
        <v>49</v>
      </c>
      <c r="H32" s="9">
        <v>8130091666</v>
      </c>
      <c r="I32" s="8" t="s">
        <v>10</v>
      </c>
    </row>
    <row r="33" spans="1:9" ht="30" customHeight="1" x14ac:dyDescent="0.2">
      <c r="A33" s="10">
        <f t="shared" si="0"/>
        <v>22</v>
      </c>
      <c r="B33" s="9" t="s">
        <v>48</v>
      </c>
      <c r="C33" s="9" t="s">
        <v>47</v>
      </c>
      <c r="D33" s="9" t="s">
        <v>18</v>
      </c>
      <c r="E33" s="9">
        <v>72</v>
      </c>
      <c r="F33" s="9" t="s">
        <v>46</v>
      </c>
      <c r="G33" s="9" t="s">
        <v>45</v>
      </c>
      <c r="H33" s="9">
        <v>9311370001</v>
      </c>
      <c r="I33" s="8" t="s">
        <v>10</v>
      </c>
    </row>
    <row r="34" spans="1:9" ht="30" customHeight="1" x14ac:dyDescent="0.2">
      <c r="A34" s="10">
        <f t="shared" si="0"/>
        <v>23</v>
      </c>
      <c r="B34" s="9" t="s">
        <v>44</v>
      </c>
      <c r="C34" s="9" t="s">
        <v>43</v>
      </c>
      <c r="D34" s="9" t="s">
        <v>18</v>
      </c>
      <c r="E34" s="9">
        <v>78</v>
      </c>
      <c r="F34" s="9" t="s">
        <v>42</v>
      </c>
      <c r="G34" s="9" t="s">
        <v>41</v>
      </c>
      <c r="H34" s="9">
        <v>9810282958</v>
      </c>
      <c r="I34" s="8" t="s">
        <v>10</v>
      </c>
    </row>
    <row r="35" spans="1:9" ht="30" customHeight="1" x14ac:dyDescent="0.2">
      <c r="A35" s="10">
        <f t="shared" si="0"/>
        <v>24</v>
      </c>
      <c r="B35" s="9" t="s">
        <v>40</v>
      </c>
      <c r="C35" s="9" t="s">
        <v>39</v>
      </c>
      <c r="D35" s="9" t="s">
        <v>14</v>
      </c>
      <c r="E35" s="9">
        <v>0</v>
      </c>
      <c r="F35" s="9" t="s">
        <v>38</v>
      </c>
      <c r="G35" s="9" t="s">
        <v>37</v>
      </c>
      <c r="H35" s="9">
        <v>9911832034</v>
      </c>
      <c r="I35" s="8" t="s">
        <v>10</v>
      </c>
    </row>
    <row r="36" spans="1:9" ht="30" customHeight="1" x14ac:dyDescent="0.2">
      <c r="A36" s="10">
        <f t="shared" si="0"/>
        <v>25</v>
      </c>
      <c r="B36" s="9" t="s">
        <v>36</v>
      </c>
      <c r="C36" s="9" t="s">
        <v>35</v>
      </c>
      <c r="D36" s="9" t="s">
        <v>14</v>
      </c>
      <c r="E36" s="9">
        <v>54</v>
      </c>
      <c r="F36" s="9" t="s">
        <v>34</v>
      </c>
      <c r="G36" s="9" t="s">
        <v>33</v>
      </c>
      <c r="H36" s="9">
        <v>9625158504</v>
      </c>
      <c r="I36" s="8" t="s">
        <v>10</v>
      </c>
    </row>
    <row r="37" spans="1:9" ht="30" customHeight="1" x14ac:dyDescent="0.2">
      <c r="A37" s="10">
        <f t="shared" si="0"/>
        <v>26</v>
      </c>
      <c r="B37" s="9" t="s">
        <v>32</v>
      </c>
      <c r="C37" s="9" t="s">
        <v>31</v>
      </c>
      <c r="D37" s="9" t="s">
        <v>18</v>
      </c>
      <c r="E37" s="9">
        <v>17</v>
      </c>
      <c r="F37" s="9" t="s">
        <v>30</v>
      </c>
      <c r="G37" s="9" t="s">
        <v>29</v>
      </c>
      <c r="H37" s="9">
        <v>9625158604</v>
      </c>
      <c r="I37" s="8" t="s">
        <v>10</v>
      </c>
    </row>
    <row r="38" spans="1:9" ht="30" customHeight="1" x14ac:dyDescent="0.2">
      <c r="A38" s="10">
        <f t="shared" si="0"/>
        <v>27</v>
      </c>
      <c r="B38" s="9" t="s">
        <v>28</v>
      </c>
      <c r="C38" s="9" t="s">
        <v>27</v>
      </c>
      <c r="D38" s="9" t="s">
        <v>14</v>
      </c>
      <c r="E38" s="9">
        <v>51</v>
      </c>
      <c r="F38" s="9" t="s">
        <v>26</v>
      </c>
      <c r="G38" s="9" t="s">
        <v>25</v>
      </c>
      <c r="H38" s="9">
        <v>7838178438</v>
      </c>
      <c r="I38" s="8" t="s">
        <v>10</v>
      </c>
    </row>
    <row r="39" spans="1:9" ht="30" customHeight="1" x14ac:dyDescent="0.2">
      <c r="A39" s="10">
        <f t="shared" si="0"/>
        <v>28</v>
      </c>
      <c r="B39" s="11" t="s">
        <v>24</v>
      </c>
      <c r="C39" s="9" t="s">
        <v>23</v>
      </c>
      <c r="D39" s="9" t="s">
        <v>14</v>
      </c>
      <c r="E39" s="9">
        <v>57</v>
      </c>
      <c r="F39" s="9" t="s">
        <v>22</v>
      </c>
      <c r="G39" s="9" t="s">
        <v>21</v>
      </c>
      <c r="H39" s="9" t="s">
        <v>11</v>
      </c>
      <c r="I39" s="8" t="s">
        <v>10</v>
      </c>
    </row>
    <row r="40" spans="1:9" ht="30" customHeight="1" x14ac:dyDescent="0.2">
      <c r="A40" s="10">
        <f t="shared" si="0"/>
        <v>29</v>
      </c>
      <c r="B40" s="11" t="s">
        <v>20</v>
      </c>
      <c r="C40" s="9" t="s">
        <v>19</v>
      </c>
      <c r="D40" s="9" t="s">
        <v>18</v>
      </c>
      <c r="E40" s="9">
        <v>35</v>
      </c>
      <c r="F40" s="9" t="s">
        <v>17</v>
      </c>
      <c r="G40" s="9" t="s">
        <v>10</v>
      </c>
      <c r="H40" s="9" t="s">
        <v>11</v>
      </c>
      <c r="I40" s="8" t="s">
        <v>10</v>
      </c>
    </row>
    <row r="41" spans="1:9" ht="30" customHeight="1" x14ac:dyDescent="0.2">
      <c r="A41" s="10">
        <f t="shared" si="0"/>
        <v>30</v>
      </c>
      <c r="B41" s="11" t="s">
        <v>16</v>
      </c>
      <c r="C41" s="9" t="s">
        <v>15</v>
      </c>
      <c r="D41" s="9" t="s">
        <v>14</v>
      </c>
      <c r="E41" s="9">
        <v>33</v>
      </c>
      <c r="F41" s="9" t="s">
        <v>13</v>
      </c>
      <c r="G41" s="9" t="s">
        <v>12</v>
      </c>
      <c r="H41" s="9" t="s">
        <v>11</v>
      </c>
      <c r="I41" s="8" t="s">
        <v>10</v>
      </c>
    </row>
    <row r="42" spans="1:9" ht="30" customHeight="1" x14ac:dyDescent="0.2">
      <c r="A42" s="10">
        <f t="shared" si="0"/>
        <v>31</v>
      </c>
      <c r="B42" s="11" t="s">
        <v>9</v>
      </c>
      <c r="C42" s="9"/>
      <c r="D42" s="9"/>
      <c r="E42" s="9"/>
      <c r="F42" s="9"/>
      <c r="G42" s="9"/>
      <c r="H42" s="9"/>
      <c r="I42" s="8"/>
    </row>
    <row r="43" spans="1:9" ht="30" customHeight="1" x14ac:dyDescent="0.2">
      <c r="A43" s="10">
        <f t="shared" si="0"/>
        <v>32</v>
      </c>
      <c r="B43" s="11" t="s">
        <v>8</v>
      </c>
      <c r="C43" s="9"/>
      <c r="D43" s="9"/>
      <c r="E43" s="9"/>
      <c r="F43" s="9"/>
      <c r="G43" s="9"/>
      <c r="H43" s="9"/>
      <c r="I43" s="8"/>
    </row>
    <row r="44" spans="1:9" ht="30" customHeight="1" x14ac:dyDescent="0.2">
      <c r="A44" s="10">
        <f t="shared" si="0"/>
        <v>33</v>
      </c>
      <c r="B44" s="11" t="s">
        <v>7</v>
      </c>
      <c r="C44" s="9"/>
      <c r="D44" s="9"/>
      <c r="E44" s="9"/>
      <c r="F44" s="9"/>
      <c r="G44" s="9"/>
      <c r="H44" s="9"/>
      <c r="I44" s="8"/>
    </row>
    <row r="45" spans="1:9" ht="30" customHeight="1" x14ac:dyDescent="0.2">
      <c r="A45" s="10">
        <f t="shared" si="0"/>
        <v>34</v>
      </c>
      <c r="B45" s="11" t="s">
        <v>6</v>
      </c>
      <c r="C45" s="9"/>
      <c r="D45" s="9"/>
      <c r="E45" s="9"/>
      <c r="F45" s="9"/>
      <c r="G45" s="9"/>
      <c r="H45" s="9"/>
      <c r="I45" s="8"/>
    </row>
    <row r="46" spans="1:9" ht="30" customHeight="1" x14ac:dyDescent="0.2">
      <c r="A46" s="10"/>
      <c r="B46" s="9"/>
      <c r="C46" s="9"/>
      <c r="D46" s="9"/>
      <c r="E46" s="9"/>
      <c r="F46" s="9"/>
      <c r="G46" s="9"/>
      <c r="H46" s="9"/>
      <c r="I46" s="8"/>
    </row>
    <row r="47" spans="1:9" ht="119.25" customHeight="1" x14ac:dyDescent="0.2">
      <c r="A47" s="6"/>
      <c r="B47" s="4"/>
      <c r="C47" s="4"/>
      <c r="D47" s="4"/>
      <c r="E47" s="4"/>
      <c r="F47" s="4"/>
      <c r="G47" s="4"/>
      <c r="H47" s="4"/>
      <c r="I47" s="3"/>
    </row>
    <row r="48" spans="1:9" ht="15.75" customHeight="1" x14ac:dyDescent="0.2">
      <c r="A48" s="30" t="s">
        <v>5</v>
      </c>
      <c r="B48" s="31"/>
      <c r="C48" s="4"/>
      <c r="D48" s="4"/>
      <c r="E48" s="4"/>
      <c r="F48" s="4"/>
      <c r="G48" s="7" t="s">
        <v>4</v>
      </c>
      <c r="H48" s="4"/>
      <c r="I48" s="3"/>
    </row>
    <row r="49" spans="1:9" ht="15.75" customHeight="1" x14ac:dyDescent="0.2">
      <c r="A49" s="6"/>
      <c r="B49" s="4"/>
      <c r="C49" s="4"/>
      <c r="D49" s="4"/>
      <c r="E49" s="4"/>
      <c r="F49" s="4"/>
      <c r="G49" s="5" t="s">
        <v>3</v>
      </c>
      <c r="H49" s="4"/>
      <c r="I49" s="3"/>
    </row>
    <row r="50" spans="1:9" ht="15.75" customHeight="1" x14ac:dyDescent="0.2">
      <c r="A50" s="32" t="s">
        <v>280</v>
      </c>
      <c r="B50" s="33"/>
      <c r="C50" s="33"/>
      <c r="D50" s="34"/>
      <c r="E50" s="2"/>
      <c r="F50" s="2"/>
      <c r="G50" s="35" t="str">
        <f>A50</f>
        <v>Date :  29/04/2026</v>
      </c>
      <c r="H50" s="33"/>
      <c r="I50" s="36"/>
    </row>
    <row r="51" spans="1:9" ht="15.75" customHeight="1" x14ac:dyDescent="0.2">
      <c r="A51" s="37" t="s">
        <v>281</v>
      </c>
      <c r="B51" s="38"/>
      <c r="C51" s="38"/>
      <c r="D51" s="39"/>
      <c r="E51" s="1"/>
      <c r="F51" s="1"/>
      <c r="G51" s="40" t="s">
        <v>0</v>
      </c>
      <c r="H51" s="38"/>
      <c r="I51" s="41"/>
    </row>
    <row r="52" spans="1:9" ht="15.75" customHeight="1" x14ac:dyDescent="0.2"/>
    <row r="53" spans="1:9" ht="15.75" customHeight="1" x14ac:dyDescent="0.2"/>
    <row r="54" spans="1:9" ht="15.75" customHeight="1" x14ac:dyDescent="0.2"/>
    <row r="55" spans="1:9" ht="15.75" customHeight="1" x14ac:dyDescent="0.2"/>
    <row r="56" spans="1:9" ht="15.75" customHeight="1" x14ac:dyDescent="0.2"/>
    <row r="57" spans="1:9" ht="15.75" customHeight="1" x14ac:dyDescent="0.2"/>
    <row r="58" spans="1:9" ht="15.75" customHeight="1" x14ac:dyDescent="0.2"/>
    <row r="59" spans="1:9" ht="15.75" customHeight="1" x14ac:dyDescent="0.2"/>
    <row r="60" spans="1:9" ht="15.75" customHeight="1" x14ac:dyDescent="0.2"/>
    <row r="61" spans="1:9" ht="15.75" customHeight="1" x14ac:dyDescent="0.2"/>
    <row r="62" spans="1:9" ht="15.75" customHeight="1" x14ac:dyDescent="0.2"/>
    <row r="63" spans="1:9" ht="15.75" customHeight="1" x14ac:dyDescent="0.2"/>
    <row r="64" spans="1:9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</sheetData>
  <mergeCells count="21">
    <mergeCell ref="A48:B48"/>
    <mergeCell ref="A50:D50"/>
    <mergeCell ref="G50:I50"/>
    <mergeCell ref="A51:D51"/>
    <mergeCell ref="G51:I51"/>
    <mergeCell ref="A8:B8"/>
    <mergeCell ref="C8:E8"/>
    <mergeCell ref="A9:F9"/>
    <mergeCell ref="G9:I9"/>
    <mergeCell ref="A10:H10"/>
    <mergeCell ref="A6:B6"/>
    <mergeCell ref="C6:E6"/>
    <mergeCell ref="G6:I6"/>
    <mergeCell ref="A7:B7"/>
    <mergeCell ref="C7:E7"/>
    <mergeCell ref="G7:I7"/>
    <mergeCell ref="A1:I1"/>
    <mergeCell ref="A2:I2"/>
    <mergeCell ref="A3:I3"/>
    <mergeCell ref="A5:B5"/>
    <mergeCell ref="C5:E5"/>
  </mergeCells>
  <pageMargins left="0.70866141732283472" right="0.70866141732283472" top="0.74803149606299213" bottom="0.74803149606299213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733D6-C705-4EAE-9B48-BC8724C1225B}">
  <dimension ref="A1:I93"/>
  <sheetViews>
    <sheetView topLeftCell="A23" workbookViewId="0">
      <selection activeCell="E41" sqref="E41"/>
    </sheetView>
  </sheetViews>
  <sheetFormatPr baseColWidth="10" defaultColWidth="14.3984375" defaultRowHeight="14" x14ac:dyDescent="0.2"/>
  <cols>
    <col min="1" max="1" width="12.796875" customWidth="1"/>
    <col min="2" max="2" width="17.796875" customWidth="1"/>
    <col min="3" max="3" width="20" customWidth="1"/>
    <col min="4" max="5" width="5.19921875" customWidth="1"/>
    <col min="6" max="6" width="17.3984375" customWidth="1"/>
    <col min="7" max="7" width="27.59765625" customWidth="1"/>
    <col min="8" max="8" width="19" customWidth="1"/>
    <col min="9" max="9" width="17" customWidth="1"/>
    <col min="10" max="10" width="12.796875" customWidth="1"/>
  </cols>
  <sheetData>
    <row r="1" spans="1:9" ht="20.25" customHeight="1" x14ac:dyDescent="0.2">
      <c r="A1" s="23" t="s">
        <v>159</v>
      </c>
      <c r="B1" s="24"/>
      <c r="C1" s="24"/>
      <c r="D1" s="24"/>
      <c r="E1" s="24"/>
      <c r="F1" s="24"/>
      <c r="G1" s="24"/>
      <c r="H1" s="24"/>
      <c r="I1" s="24"/>
    </row>
    <row r="2" spans="1:9" ht="14.25" customHeight="1" x14ac:dyDescent="0.2">
      <c r="A2" s="25" t="s">
        <v>158</v>
      </c>
      <c r="B2" s="24"/>
      <c r="C2" s="24"/>
      <c r="D2" s="24"/>
      <c r="E2" s="24"/>
      <c r="F2" s="24"/>
      <c r="G2" s="24"/>
      <c r="H2" s="24"/>
      <c r="I2" s="24"/>
    </row>
    <row r="3" spans="1:9" ht="15" customHeight="1" x14ac:dyDescent="0.2">
      <c r="A3" s="26" t="s">
        <v>336</v>
      </c>
      <c r="B3" s="24"/>
      <c r="C3" s="24"/>
      <c r="D3" s="24"/>
      <c r="E3" s="24"/>
      <c r="F3" s="24"/>
      <c r="G3" s="24"/>
      <c r="H3" s="24"/>
      <c r="I3" s="24"/>
    </row>
    <row r="4" spans="1:9" ht="14.25" customHeight="1" x14ac:dyDescent="0.2">
      <c r="A4" s="22"/>
      <c r="B4" s="21"/>
      <c r="C4" s="21"/>
      <c r="D4" s="21"/>
      <c r="E4" s="21"/>
      <c r="F4" s="21"/>
      <c r="G4" s="21"/>
      <c r="H4" s="21"/>
      <c r="I4" s="20"/>
    </row>
    <row r="5" spans="1:9" ht="21" customHeight="1" x14ac:dyDescent="0.2">
      <c r="A5" s="27" t="s">
        <v>157</v>
      </c>
      <c r="B5" s="24"/>
      <c r="C5" s="27" t="str">
        <f>'[1]1. Pasted app "NR" Date Here'!J2</f>
        <v>Indirapuram</v>
      </c>
      <c r="D5" s="24"/>
      <c r="E5" s="24"/>
      <c r="F5" s="19" t="s">
        <v>156</v>
      </c>
      <c r="G5" s="19" t="str">
        <f>'[1]1. Pasted app "NR" Date Here'!N2</f>
        <v>Ghaziabad</v>
      </c>
      <c r="H5" s="18" t="s">
        <v>155</v>
      </c>
      <c r="I5" s="19" t="str">
        <f>'[1]1. Pasted app "NR" Date Here'!T2</f>
        <v>III</v>
      </c>
    </row>
    <row r="6" spans="1:9" ht="21" customHeight="1" x14ac:dyDescent="0.2">
      <c r="A6" s="27" t="s">
        <v>154</v>
      </c>
      <c r="B6" s="24"/>
      <c r="C6" s="27" t="s">
        <v>138</v>
      </c>
      <c r="D6" s="24"/>
      <c r="E6" s="24"/>
      <c r="F6" s="19" t="s">
        <v>153</v>
      </c>
      <c r="G6" s="28"/>
      <c r="H6" s="24"/>
      <c r="I6" s="24"/>
    </row>
    <row r="7" spans="1:9" ht="21" customHeight="1" x14ac:dyDescent="0.2">
      <c r="A7" s="27" t="s">
        <v>152</v>
      </c>
      <c r="B7" s="24"/>
      <c r="C7" s="27" t="str">
        <f>'[1]1. Pasted app "NR" Date Here'!L2</f>
        <v>Train</v>
      </c>
      <c r="D7" s="24"/>
      <c r="E7" s="24"/>
      <c r="F7" s="19" t="s">
        <v>151</v>
      </c>
      <c r="G7" s="28"/>
      <c r="H7" s="24"/>
      <c r="I7" s="24"/>
    </row>
    <row r="8" spans="1:9" ht="21" customHeight="1" x14ac:dyDescent="0.2">
      <c r="A8" s="27" t="s">
        <v>150</v>
      </c>
      <c r="B8" s="24"/>
      <c r="C8" s="27" t="str">
        <f>'[1]1. Pasted app "NR" Date Here'!M2</f>
        <v>Beas</v>
      </c>
      <c r="D8" s="24"/>
      <c r="E8" s="24"/>
      <c r="F8" s="19" t="s">
        <v>149</v>
      </c>
      <c r="G8" s="17">
        <f>'[1]1. Pasted app "NR" Date Here'!Q2</f>
        <v>46148</v>
      </c>
      <c r="H8" s="18" t="s">
        <v>148</v>
      </c>
      <c r="I8" s="17">
        <f>'[1]1. Pasted app "NR" Date Here'!R2</f>
        <v>46152</v>
      </c>
    </row>
    <row r="9" spans="1:9" ht="21" customHeight="1" x14ac:dyDescent="0.2">
      <c r="A9" s="27" t="s">
        <v>147</v>
      </c>
      <c r="B9" s="24"/>
      <c r="C9" s="24"/>
      <c r="D9" s="24"/>
      <c r="E9" s="24"/>
      <c r="F9" s="24"/>
      <c r="G9" s="29" t="str">
        <f>'[1]1. Pasted app "NR" Date Here'!S2</f>
        <v>Construction</v>
      </c>
      <c r="H9" s="24"/>
      <c r="I9" s="24"/>
    </row>
    <row r="10" spans="1:9" ht="14.25" customHeight="1" x14ac:dyDescent="0.2">
      <c r="A10" s="25"/>
      <c r="B10" s="24"/>
      <c r="C10" s="24"/>
      <c r="D10" s="24"/>
      <c r="E10" s="24"/>
      <c r="F10" s="24"/>
      <c r="G10" s="24"/>
      <c r="H10" s="24"/>
      <c r="I10" s="16"/>
    </row>
    <row r="11" spans="1:9" ht="30" customHeight="1" x14ac:dyDescent="0.2">
      <c r="A11" s="15" t="s">
        <v>146</v>
      </c>
      <c r="B11" s="14" t="s">
        <v>145</v>
      </c>
      <c r="C11" s="14" t="s">
        <v>144</v>
      </c>
      <c r="D11" s="14" t="s">
        <v>14</v>
      </c>
      <c r="E11" s="14" t="s">
        <v>143</v>
      </c>
      <c r="F11" s="14" t="s">
        <v>142</v>
      </c>
      <c r="G11" s="14" t="s">
        <v>141</v>
      </c>
      <c r="H11" s="13" t="s">
        <v>140</v>
      </c>
      <c r="I11" s="12" t="s">
        <v>139</v>
      </c>
    </row>
    <row r="12" spans="1:9" ht="30" customHeight="1" x14ac:dyDescent="0.2">
      <c r="A12" s="10">
        <v>1</v>
      </c>
      <c r="B12" s="9" t="s">
        <v>160</v>
      </c>
      <c r="C12" s="9" t="s">
        <v>161</v>
      </c>
      <c r="D12" s="9" t="s">
        <v>18</v>
      </c>
      <c r="E12" s="9">
        <v>52</v>
      </c>
      <c r="F12" s="9" t="s">
        <v>162</v>
      </c>
      <c r="G12" s="9" t="s">
        <v>163</v>
      </c>
      <c r="H12" s="9">
        <v>9868234643</v>
      </c>
      <c r="I12" s="8" t="s">
        <v>164</v>
      </c>
    </row>
    <row r="13" spans="1:9" ht="30" customHeight="1" x14ac:dyDescent="0.2">
      <c r="A13" s="10">
        <f>A12+1</f>
        <v>2</v>
      </c>
      <c r="B13" s="9" t="s">
        <v>165</v>
      </c>
      <c r="C13" s="9" t="s">
        <v>166</v>
      </c>
      <c r="D13" s="9" t="s">
        <v>14</v>
      </c>
      <c r="E13" s="9">
        <v>45</v>
      </c>
      <c r="F13" s="9" t="s">
        <v>167</v>
      </c>
      <c r="G13" s="9" t="s">
        <v>168</v>
      </c>
      <c r="H13" s="9">
        <v>9582005322</v>
      </c>
      <c r="I13" s="8" t="s">
        <v>169</v>
      </c>
    </row>
    <row r="14" spans="1:9" ht="30" customHeight="1" x14ac:dyDescent="0.2">
      <c r="A14" s="10">
        <f t="shared" ref="A14:A39" si="0">A13+1</f>
        <v>3</v>
      </c>
      <c r="B14" s="9" t="s">
        <v>170</v>
      </c>
      <c r="C14" s="9" t="s">
        <v>171</v>
      </c>
      <c r="D14" s="9" t="s">
        <v>14</v>
      </c>
      <c r="E14" s="9">
        <v>58</v>
      </c>
      <c r="F14" s="9" t="s">
        <v>172</v>
      </c>
      <c r="G14" s="9" t="s">
        <v>135</v>
      </c>
      <c r="H14" s="9">
        <v>9211563546</v>
      </c>
      <c r="I14" s="8" t="s">
        <v>173</v>
      </c>
    </row>
    <row r="15" spans="1:9" ht="30" customHeight="1" x14ac:dyDescent="0.2">
      <c r="A15" s="10">
        <f t="shared" si="0"/>
        <v>4</v>
      </c>
      <c r="B15" s="9" t="s">
        <v>174</v>
      </c>
      <c r="C15" s="9" t="s">
        <v>175</v>
      </c>
      <c r="D15" s="9" t="s">
        <v>14</v>
      </c>
      <c r="E15" s="9">
        <v>47</v>
      </c>
      <c r="F15" s="9" t="s">
        <v>176</v>
      </c>
      <c r="G15" s="9" t="s">
        <v>177</v>
      </c>
      <c r="H15" s="9">
        <v>7838634085</v>
      </c>
      <c r="I15" s="8" t="s">
        <v>178</v>
      </c>
    </row>
    <row r="16" spans="1:9" ht="30" customHeight="1" x14ac:dyDescent="0.2">
      <c r="A16" s="10">
        <f t="shared" si="0"/>
        <v>5</v>
      </c>
      <c r="B16" s="9" t="s">
        <v>179</v>
      </c>
      <c r="C16" s="9" t="s">
        <v>180</v>
      </c>
      <c r="D16" s="9" t="s">
        <v>18</v>
      </c>
      <c r="E16" s="9">
        <v>62</v>
      </c>
      <c r="F16" s="9" t="s">
        <v>181</v>
      </c>
      <c r="G16" s="9" t="s">
        <v>182</v>
      </c>
      <c r="H16" s="9">
        <v>9868157513</v>
      </c>
      <c r="I16" s="8" t="s">
        <v>10</v>
      </c>
    </row>
    <row r="17" spans="1:9" ht="30" customHeight="1" x14ac:dyDescent="0.2">
      <c r="A17" s="10">
        <f t="shared" si="0"/>
        <v>6</v>
      </c>
      <c r="B17" s="9" t="s">
        <v>183</v>
      </c>
      <c r="C17" s="9" t="s">
        <v>184</v>
      </c>
      <c r="D17" s="9" t="s">
        <v>14</v>
      </c>
      <c r="E17" s="9">
        <v>61</v>
      </c>
      <c r="F17" s="9" t="s">
        <v>185</v>
      </c>
      <c r="G17" s="9" t="s">
        <v>186</v>
      </c>
      <c r="H17" s="9">
        <v>9911515023</v>
      </c>
      <c r="I17" s="8" t="s">
        <v>187</v>
      </c>
    </row>
    <row r="18" spans="1:9" ht="30" customHeight="1" x14ac:dyDescent="0.2">
      <c r="A18" s="10">
        <f t="shared" si="0"/>
        <v>7</v>
      </c>
      <c r="B18" s="9" t="s">
        <v>188</v>
      </c>
      <c r="C18" s="9" t="s">
        <v>189</v>
      </c>
      <c r="D18" s="9" t="s">
        <v>14</v>
      </c>
      <c r="E18" s="9">
        <v>59</v>
      </c>
      <c r="F18" s="9" t="s">
        <v>190</v>
      </c>
      <c r="G18" s="9" t="s">
        <v>191</v>
      </c>
      <c r="H18" s="9">
        <v>9250711916</v>
      </c>
      <c r="I18" s="8" t="s">
        <v>192</v>
      </c>
    </row>
    <row r="19" spans="1:9" ht="30" customHeight="1" x14ac:dyDescent="0.2">
      <c r="A19" s="10">
        <f t="shared" si="0"/>
        <v>8</v>
      </c>
      <c r="B19" s="9" t="s">
        <v>193</v>
      </c>
      <c r="C19" s="9" t="s">
        <v>194</v>
      </c>
      <c r="D19" s="9" t="s">
        <v>14</v>
      </c>
      <c r="E19" s="9">
        <v>60</v>
      </c>
      <c r="F19" s="9" t="s">
        <v>195</v>
      </c>
      <c r="G19" s="9" t="s">
        <v>182</v>
      </c>
      <c r="H19" s="9">
        <v>9868157513</v>
      </c>
      <c r="I19" s="8" t="s">
        <v>10</v>
      </c>
    </row>
    <row r="20" spans="1:9" ht="30" customHeight="1" x14ac:dyDescent="0.2">
      <c r="A20" s="10">
        <f t="shared" si="0"/>
        <v>9</v>
      </c>
      <c r="B20" s="9" t="s">
        <v>196</v>
      </c>
      <c r="C20" s="9" t="s">
        <v>197</v>
      </c>
      <c r="D20" s="9" t="s">
        <v>14</v>
      </c>
      <c r="E20" s="9">
        <v>68</v>
      </c>
      <c r="F20" s="9" t="s">
        <v>198</v>
      </c>
      <c r="G20" s="9" t="s">
        <v>199</v>
      </c>
      <c r="H20" s="9">
        <v>9899356499</v>
      </c>
      <c r="I20" s="8" t="s">
        <v>200</v>
      </c>
    </row>
    <row r="21" spans="1:9" ht="30" customHeight="1" x14ac:dyDescent="0.2">
      <c r="A21" s="10">
        <f t="shared" si="0"/>
        <v>10</v>
      </c>
      <c r="B21" s="9" t="s">
        <v>201</v>
      </c>
      <c r="C21" s="9" t="s">
        <v>202</v>
      </c>
      <c r="D21" s="9" t="s">
        <v>18</v>
      </c>
      <c r="E21" s="9">
        <v>67</v>
      </c>
      <c r="F21" s="9" t="s">
        <v>203</v>
      </c>
      <c r="G21" s="9" t="s">
        <v>204</v>
      </c>
      <c r="H21" s="9">
        <v>9868011531</v>
      </c>
      <c r="I21" s="8" t="s">
        <v>205</v>
      </c>
    </row>
    <row r="22" spans="1:9" ht="30" customHeight="1" x14ac:dyDescent="0.2">
      <c r="A22" s="10">
        <f t="shared" si="0"/>
        <v>11</v>
      </c>
      <c r="B22" s="9" t="s">
        <v>206</v>
      </c>
      <c r="C22" s="9" t="s">
        <v>207</v>
      </c>
      <c r="D22" s="9" t="s">
        <v>18</v>
      </c>
      <c r="E22" s="9">
        <v>66</v>
      </c>
      <c r="F22" s="9" t="s">
        <v>208</v>
      </c>
      <c r="G22" s="9" t="s">
        <v>186</v>
      </c>
      <c r="H22" s="9">
        <v>9810915021</v>
      </c>
      <c r="I22" s="8" t="s">
        <v>209</v>
      </c>
    </row>
    <row r="23" spans="1:9" ht="30" customHeight="1" x14ac:dyDescent="0.2">
      <c r="A23" s="10">
        <f t="shared" si="0"/>
        <v>12</v>
      </c>
      <c r="B23" s="9" t="s">
        <v>210</v>
      </c>
      <c r="C23" s="9" t="s">
        <v>211</v>
      </c>
      <c r="D23" s="9" t="s">
        <v>14</v>
      </c>
      <c r="E23" s="9">
        <v>55</v>
      </c>
      <c r="F23" s="9" t="s">
        <v>212</v>
      </c>
      <c r="G23" s="9" t="s">
        <v>213</v>
      </c>
      <c r="H23" s="9">
        <v>8130091672</v>
      </c>
      <c r="I23" s="8" t="s">
        <v>10</v>
      </c>
    </row>
    <row r="24" spans="1:9" ht="30" customHeight="1" x14ac:dyDescent="0.2">
      <c r="A24" s="10">
        <f t="shared" si="0"/>
        <v>13</v>
      </c>
      <c r="B24" s="9" t="s">
        <v>214</v>
      </c>
      <c r="C24" s="9" t="s">
        <v>215</v>
      </c>
      <c r="D24" s="9" t="s">
        <v>14</v>
      </c>
      <c r="E24" s="9">
        <v>64</v>
      </c>
      <c r="F24" s="9" t="s">
        <v>216</v>
      </c>
      <c r="G24" s="9" t="s">
        <v>217</v>
      </c>
      <c r="H24" s="9">
        <v>9873583798</v>
      </c>
      <c r="I24" s="8" t="s">
        <v>218</v>
      </c>
    </row>
    <row r="25" spans="1:9" ht="30" customHeight="1" x14ac:dyDescent="0.2">
      <c r="A25" s="10">
        <f t="shared" si="0"/>
        <v>14</v>
      </c>
      <c r="B25" s="9" t="s">
        <v>219</v>
      </c>
      <c r="C25" s="9" t="s">
        <v>220</v>
      </c>
      <c r="D25" s="9" t="s">
        <v>14</v>
      </c>
      <c r="E25" s="9">
        <v>70</v>
      </c>
      <c r="F25" s="9" t="s">
        <v>221</v>
      </c>
      <c r="G25" s="9" t="s">
        <v>222</v>
      </c>
      <c r="H25" s="9">
        <v>9315834838</v>
      </c>
      <c r="I25" s="8" t="s">
        <v>223</v>
      </c>
    </row>
    <row r="26" spans="1:9" ht="30" customHeight="1" x14ac:dyDescent="0.2">
      <c r="A26" s="10">
        <f t="shared" si="0"/>
        <v>15</v>
      </c>
      <c r="B26" s="9" t="s">
        <v>224</v>
      </c>
      <c r="C26" s="9" t="s">
        <v>225</v>
      </c>
      <c r="D26" s="9" t="s">
        <v>14</v>
      </c>
      <c r="E26" s="9">
        <v>51</v>
      </c>
      <c r="F26" s="9" t="s">
        <v>226</v>
      </c>
      <c r="G26" s="9" t="s">
        <v>227</v>
      </c>
      <c r="H26" s="9">
        <v>8130091665</v>
      </c>
      <c r="I26" s="8" t="s">
        <v>228</v>
      </c>
    </row>
    <row r="27" spans="1:9" ht="30" customHeight="1" x14ac:dyDescent="0.2">
      <c r="A27" s="10">
        <f t="shared" si="0"/>
        <v>16</v>
      </c>
      <c r="B27" s="9" t="s">
        <v>229</v>
      </c>
      <c r="C27" s="9" t="s">
        <v>230</v>
      </c>
      <c r="D27" s="9" t="s">
        <v>14</v>
      </c>
      <c r="E27" s="9">
        <v>59</v>
      </c>
      <c r="F27" s="9" t="s">
        <v>231</v>
      </c>
      <c r="G27" s="9" t="s">
        <v>232</v>
      </c>
      <c r="H27" s="9">
        <v>8882169903</v>
      </c>
      <c r="I27" s="8" t="s">
        <v>233</v>
      </c>
    </row>
    <row r="28" spans="1:9" ht="30" customHeight="1" x14ac:dyDescent="0.2">
      <c r="A28" s="10">
        <f t="shared" si="0"/>
        <v>17</v>
      </c>
      <c r="B28" s="9" t="s">
        <v>234</v>
      </c>
      <c r="C28" s="9" t="s">
        <v>235</v>
      </c>
      <c r="D28" s="9" t="s">
        <v>14</v>
      </c>
      <c r="E28" s="9">
        <v>60</v>
      </c>
      <c r="F28" s="9" t="s">
        <v>236</v>
      </c>
      <c r="G28" s="9" t="s">
        <v>237</v>
      </c>
      <c r="H28" s="9">
        <v>8076452065</v>
      </c>
      <c r="I28" s="8" t="s">
        <v>238</v>
      </c>
    </row>
    <row r="29" spans="1:9" ht="30" customHeight="1" x14ac:dyDescent="0.2">
      <c r="A29" s="10">
        <f t="shared" si="0"/>
        <v>18</v>
      </c>
      <c r="B29" s="9" t="s">
        <v>239</v>
      </c>
      <c r="C29" s="9" t="s">
        <v>240</v>
      </c>
      <c r="D29" s="9" t="s">
        <v>18</v>
      </c>
      <c r="E29" s="9">
        <v>66</v>
      </c>
      <c r="F29" s="9" t="s">
        <v>241</v>
      </c>
      <c r="G29" s="9" t="s">
        <v>242</v>
      </c>
      <c r="H29" s="9">
        <v>9990112131</v>
      </c>
      <c r="I29" s="8" t="s">
        <v>243</v>
      </c>
    </row>
    <row r="30" spans="1:9" ht="30" customHeight="1" x14ac:dyDescent="0.2">
      <c r="A30" s="10">
        <f t="shared" si="0"/>
        <v>19</v>
      </c>
      <c r="B30" s="9" t="s">
        <v>244</v>
      </c>
      <c r="C30" s="9" t="s">
        <v>245</v>
      </c>
      <c r="D30" s="9" t="s">
        <v>14</v>
      </c>
      <c r="E30" s="9">
        <v>50</v>
      </c>
      <c r="F30" s="9" t="s">
        <v>246</v>
      </c>
      <c r="G30" s="9" t="s">
        <v>247</v>
      </c>
      <c r="H30" s="9">
        <v>8800697855</v>
      </c>
      <c r="I30" s="8" t="s">
        <v>248</v>
      </c>
    </row>
    <row r="31" spans="1:9" ht="30" customHeight="1" x14ac:dyDescent="0.2">
      <c r="A31" s="10">
        <f t="shared" si="0"/>
        <v>20</v>
      </c>
      <c r="B31" s="9" t="s">
        <v>249</v>
      </c>
      <c r="C31" s="9" t="s">
        <v>250</v>
      </c>
      <c r="D31" s="9" t="s">
        <v>14</v>
      </c>
      <c r="E31" s="9">
        <v>67</v>
      </c>
      <c r="F31" s="9" t="s">
        <v>251</v>
      </c>
      <c r="G31" s="9" t="s">
        <v>252</v>
      </c>
      <c r="H31" s="9">
        <v>9968489089</v>
      </c>
      <c r="I31" s="8" t="s">
        <v>253</v>
      </c>
    </row>
    <row r="32" spans="1:9" ht="30" customHeight="1" x14ac:dyDescent="0.2">
      <c r="A32" s="10">
        <f t="shared" si="0"/>
        <v>21</v>
      </c>
      <c r="B32" s="9" t="s">
        <v>254</v>
      </c>
      <c r="C32" s="9" t="s">
        <v>255</v>
      </c>
      <c r="D32" s="9" t="s">
        <v>14</v>
      </c>
      <c r="E32" s="9">
        <v>56</v>
      </c>
      <c r="F32" s="9" t="s">
        <v>256</v>
      </c>
      <c r="G32" s="9" t="s">
        <v>257</v>
      </c>
      <c r="H32" s="9">
        <v>9313857961</v>
      </c>
      <c r="I32" s="8" t="s">
        <v>258</v>
      </c>
    </row>
    <row r="33" spans="1:9" ht="30" customHeight="1" x14ac:dyDescent="0.2">
      <c r="A33" s="10">
        <f t="shared" si="0"/>
        <v>22</v>
      </c>
      <c r="B33" s="9" t="s">
        <v>259</v>
      </c>
      <c r="C33" s="9" t="s">
        <v>260</v>
      </c>
      <c r="D33" s="9" t="s">
        <v>14</v>
      </c>
      <c r="E33" s="9">
        <v>60</v>
      </c>
      <c r="F33" s="9" t="s">
        <v>261</v>
      </c>
      <c r="G33" s="9" t="s">
        <v>262</v>
      </c>
      <c r="H33" s="9">
        <v>9818329907</v>
      </c>
      <c r="I33" s="8" t="s">
        <v>263</v>
      </c>
    </row>
    <row r="34" spans="1:9" ht="30" customHeight="1" x14ac:dyDescent="0.2">
      <c r="A34" s="10">
        <f t="shared" si="0"/>
        <v>23</v>
      </c>
      <c r="B34" s="9" t="s">
        <v>264</v>
      </c>
      <c r="C34" s="9" t="s">
        <v>265</v>
      </c>
      <c r="D34" s="9" t="s">
        <v>14</v>
      </c>
      <c r="E34" s="9">
        <v>47</v>
      </c>
      <c r="F34" s="9" t="s">
        <v>266</v>
      </c>
      <c r="G34" s="9" t="s">
        <v>267</v>
      </c>
      <c r="H34" s="9">
        <v>9811939037</v>
      </c>
      <c r="I34" s="8" t="s">
        <v>268</v>
      </c>
    </row>
    <row r="35" spans="1:9" ht="30" customHeight="1" x14ac:dyDescent="0.2">
      <c r="A35" s="10">
        <f t="shared" si="0"/>
        <v>24</v>
      </c>
      <c r="B35" s="9" t="s">
        <v>269</v>
      </c>
      <c r="C35" s="9" t="s">
        <v>270</v>
      </c>
      <c r="D35" s="9" t="s">
        <v>14</v>
      </c>
      <c r="E35" s="9">
        <v>60</v>
      </c>
      <c r="F35" s="9" t="s">
        <v>271</v>
      </c>
      <c r="G35" s="9" t="s">
        <v>272</v>
      </c>
      <c r="H35" s="9">
        <v>8826386891</v>
      </c>
      <c r="I35" s="8" t="s">
        <v>273</v>
      </c>
    </row>
    <row r="36" spans="1:9" ht="30" customHeight="1" x14ac:dyDescent="0.2">
      <c r="A36" s="10">
        <f>A35+1</f>
        <v>25</v>
      </c>
      <c r="B36" s="11" t="s">
        <v>274</v>
      </c>
      <c r="C36" s="9"/>
      <c r="D36" s="9"/>
      <c r="E36" s="9"/>
      <c r="F36" s="9"/>
      <c r="G36" s="9"/>
      <c r="H36" s="9"/>
      <c r="I36" s="8"/>
    </row>
    <row r="37" spans="1:9" ht="30" customHeight="1" x14ac:dyDescent="0.2">
      <c r="A37" s="10">
        <f t="shared" si="0"/>
        <v>26</v>
      </c>
      <c r="B37" s="11" t="s">
        <v>275</v>
      </c>
      <c r="C37" s="9"/>
      <c r="D37" s="9"/>
      <c r="E37" s="9"/>
      <c r="F37" s="9"/>
      <c r="G37" s="9"/>
      <c r="H37" s="9"/>
      <c r="I37" s="8"/>
    </row>
    <row r="38" spans="1:9" ht="30" customHeight="1" x14ac:dyDescent="0.2">
      <c r="A38" s="10">
        <f t="shared" si="0"/>
        <v>27</v>
      </c>
      <c r="B38" s="11" t="s">
        <v>276</v>
      </c>
      <c r="C38" s="9"/>
      <c r="D38" s="9"/>
      <c r="E38" s="9"/>
      <c r="F38" s="9"/>
      <c r="G38" s="9"/>
      <c r="H38" s="9"/>
      <c r="I38" s="8"/>
    </row>
    <row r="39" spans="1:9" ht="30" customHeight="1" x14ac:dyDescent="0.2">
      <c r="A39" s="10">
        <f t="shared" si="0"/>
        <v>28</v>
      </c>
      <c r="B39" s="11" t="s">
        <v>277</v>
      </c>
      <c r="C39" s="9"/>
      <c r="D39" s="9"/>
      <c r="E39" s="9"/>
      <c r="F39" s="9"/>
      <c r="G39" s="9"/>
      <c r="H39" s="9"/>
      <c r="I39" s="8"/>
    </row>
    <row r="40" spans="1:9" ht="30" customHeight="1" x14ac:dyDescent="0.2">
      <c r="A40" s="10"/>
      <c r="B40" s="9"/>
      <c r="C40" s="9"/>
      <c r="D40" s="9"/>
      <c r="E40" s="9"/>
      <c r="F40" s="9"/>
      <c r="G40" s="9"/>
      <c r="H40" s="9"/>
      <c r="I40" s="8"/>
    </row>
    <row r="41" spans="1:9" ht="30" customHeight="1" x14ac:dyDescent="0.2">
      <c r="A41" s="10"/>
      <c r="B41" s="9"/>
      <c r="C41" s="9"/>
      <c r="D41" s="9"/>
      <c r="E41" s="9"/>
      <c r="F41" s="9"/>
      <c r="G41" s="9"/>
      <c r="H41" s="9"/>
      <c r="I41" s="8"/>
    </row>
    <row r="42" spans="1:9" ht="119.25" customHeight="1" x14ac:dyDescent="0.2">
      <c r="A42" s="6"/>
      <c r="B42" s="4"/>
      <c r="C42" s="4"/>
      <c r="D42" s="4"/>
      <c r="E42" s="4"/>
      <c r="F42" s="4"/>
      <c r="G42" s="4"/>
      <c r="H42" s="4"/>
      <c r="I42" s="3"/>
    </row>
    <row r="43" spans="1:9" ht="15.75" customHeight="1" x14ac:dyDescent="0.2">
      <c r="A43" s="30" t="s">
        <v>5</v>
      </c>
      <c r="B43" s="31"/>
      <c r="C43" s="4"/>
      <c r="D43" s="4"/>
      <c r="E43" s="4"/>
      <c r="F43" s="4"/>
      <c r="G43" s="7" t="s">
        <v>4</v>
      </c>
      <c r="H43" s="4"/>
      <c r="I43" s="3"/>
    </row>
    <row r="44" spans="1:9" ht="15.75" customHeight="1" x14ac:dyDescent="0.2">
      <c r="A44" s="6"/>
      <c r="B44" s="4"/>
      <c r="C44" s="4"/>
      <c r="D44" s="4"/>
      <c r="E44" s="4"/>
      <c r="F44" s="4"/>
      <c r="G44" s="5" t="s">
        <v>3</v>
      </c>
      <c r="H44" s="4"/>
      <c r="I44" s="3"/>
    </row>
    <row r="45" spans="1:9" ht="15.75" customHeight="1" x14ac:dyDescent="0.2">
      <c r="A45" s="32" t="s">
        <v>278</v>
      </c>
      <c r="B45" s="33"/>
      <c r="C45" s="33"/>
      <c r="D45" s="34"/>
      <c r="E45" s="2"/>
      <c r="F45" s="2"/>
      <c r="G45" s="35" t="str">
        <f>A45</f>
        <v xml:space="preserve">Date : 29.04.2026  </v>
      </c>
      <c r="H45" s="33"/>
      <c r="I45" s="36"/>
    </row>
    <row r="46" spans="1:9" ht="15.75" customHeight="1" x14ac:dyDescent="0.2">
      <c r="A46" s="37" t="s">
        <v>281</v>
      </c>
      <c r="B46" s="38"/>
      <c r="C46" s="38"/>
      <c r="D46" s="39"/>
      <c r="E46" s="1"/>
      <c r="F46" s="1"/>
      <c r="G46" s="40" t="s">
        <v>279</v>
      </c>
      <c r="H46" s="38"/>
      <c r="I46" s="41"/>
    </row>
    <row r="47" spans="1:9" ht="15.75" customHeight="1" x14ac:dyDescent="0.2"/>
    <row r="48" spans="1:9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</sheetData>
  <mergeCells count="21">
    <mergeCell ref="A9:F9"/>
    <mergeCell ref="G9:I9"/>
    <mergeCell ref="A1:I1"/>
    <mergeCell ref="A2:I2"/>
    <mergeCell ref="A3:I3"/>
    <mergeCell ref="A5:B5"/>
    <mergeCell ref="C5:E5"/>
    <mergeCell ref="A6:B6"/>
    <mergeCell ref="C6:E6"/>
    <mergeCell ref="G6:I6"/>
    <mergeCell ref="A7:B7"/>
    <mergeCell ref="C7:E7"/>
    <mergeCell ref="G7:I7"/>
    <mergeCell ref="A8:B8"/>
    <mergeCell ref="C8:E8"/>
    <mergeCell ref="A10:H10"/>
    <mergeCell ref="A43:B43"/>
    <mergeCell ref="A45:D45"/>
    <mergeCell ref="G45:I45"/>
    <mergeCell ref="A46:D46"/>
    <mergeCell ref="G46:I4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D3A73-AA28-419D-BDF0-38EEBDFFB8DB}">
  <dimension ref="A1:I100"/>
  <sheetViews>
    <sheetView workbookViewId="0">
      <selection activeCell="H12" sqref="H12"/>
    </sheetView>
  </sheetViews>
  <sheetFormatPr baseColWidth="10" defaultColWidth="14.3984375" defaultRowHeight="14" x14ac:dyDescent="0.2"/>
  <cols>
    <col min="1" max="1" width="12.796875" customWidth="1"/>
    <col min="2" max="2" width="17.796875" customWidth="1"/>
    <col min="3" max="3" width="20" customWidth="1"/>
    <col min="4" max="5" width="5.19921875" customWidth="1"/>
    <col min="6" max="6" width="17.3984375" customWidth="1"/>
    <col min="7" max="7" width="27.59765625" customWidth="1"/>
    <col min="8" max="8" width="19" customWidth="1"/>
    <col min="9" max="9" width="17" customWidth="1"/>
    <col min="10" max="11" width="12.796875" customWidth="1"/>
  </cols>
  <sheetData>
    <row r="1" spans="1:9" ht="20.25" customHeight="1" x14ac:dyDescent="0.2">
      <c r="A1" s="23" t="s">
        <v>159</v>
      </c>
      <c r="B1" s="24"/>
      <c r="C1" s="24"/>
      <c r="D1" s="24"/>
      <c r="E1" s="24"/>
      <c r="F1" s="24"/>
      <c r="G1" s="24"/>
      <c r="H1" s="24"/>
      <c r="I1" s="24"/>
    </row>
    <row r="2" spans="1:9" ht="14.25" customHeight="1" x14ac:dyDescent="0.2">
      <c r="A2" s="25" t="s">
        <v>158</v>
      </c>
      <c r="B2" s="24"/>
      <c r="C2" s="24"/>
      <c r="D2" s="24"/>
      <c r="E2" s="24"/>
      <c r="F2" s="24"/>
      <c r="G2" s="24"/>
      <c r="H2" s="24"/>
      <c r="I2" s="24"/>
    </row>
    <row r="3" spans="1:9" ht="15" customHeight="1" x14ac:dyDescent="0.2">
      <c r="A3" s="26" t="s">
        <v>336</v>
      </c>
      <c r="B3" s="24"/>
      <c r="C3" s="24"/>
      <c r="D3" s="24"/>
      <c r="E3" s="24"/>
      <c r="F3" s="24"/>
      <c r="G3" s="24"/>
      <c r="H3" s="24"/>
      <c r="I3" s="24"/>
    </row>
    <row r="4" spans="1:9" ht="14.25" customHeight="1" x14ac:dyDescent="0.2">
      <c r="A4" s="22"/>
      <c r="B4" s="21"/>
      <c r="C4" s="21"/>
      <c r="D4" s="21"/>
      <c r="E4" s="21"/>
      <c r="F4" s="21"/>
      <c r="G4" s="21"/>
      <c r="H4" s="21"/>
      <c r="I4" s="20"/>
    </row>
    <row r="5" spans="1:9" ht="21" customHeight="1" x14ac:dyDescent="0.2">
      <c r="A5" s="27" t="s">
        <v>157</v>
      </c>
      <c r="B5" s="24"/>
      <c r="C5" s="27" t="str">
        <f>'[1]1. Pasted app "NR" Date Here'!J2</f>
        <v>Indirapuram</v>
      </c>
      <c r="D5" s="24"/>
      <c r="E5" s="24"/>
      <c r="F5" s="19" t="s">
        <v>156</v>
      </c>
      <c r="G5" s="19" t="str">
        <f>'[1]1. Pasted app "NR" Date Here'!N2</f>
        <v>Ghaziabad</v>
      </c>
      <c r="H5" s="18" t="s">
        <v>155</v>
      </c>
      <c r="I5" s="19" t="str">
        <f>'[1]1. Pasted app "NR" Date Here'!T2</f>
        <v>III</v>
      </c>
    </row>
    <row r="6" spans="1:9" ht="21" customHeight="1" x14ac:dyDescent="0.2">
      <c r="A6" s="27" t="s">
        <v>154</v>
      </c>
      <c r="B6" s="24"/>
      <c r="C6" s="27" t="s">
        <v>166</v>
      </c>
      <c r="D6" s="24"/>
      <c r="E6" s="24"/>
      <c r="F6" s="19" t="s">
        <v>153</v>
      </c>
      <c r="G6" s="28"/>
      <c r="H6" s="24"/>
      <c r="I6" s="24"/>
    </row>
    <row r="7" spans="1:9" ht="21" customHeight="1" x14ac:dyDescent="0.2">
      <c r="A7" s="27" t="s">
        <v>152</v>
      </c>
      <c r="B7" s="24"/>
      <c r="C7" s="27" t="str">
        <f>'[1]1. Pasted app "NR" Date Here'!L2</f>
        <v>Train</v>
      </c>
      <c r="D7" s="24"/>
      <c r="E7" s="24"/>
      <c r="F7" s="19" t="s">
        <v>151</v>
      </c>
      <c r="G7" s="28"/>
      <c r="H7" s="24"/>
      <c r="I7" s="24"/>
    </row>
    <row r="8" spans="1:9" ht="21" customHeight="1" x14ac:dyDescent="0.2">
      <c r="A8" s="27" t="s">
        <v>150</v>
      </c>
      <c r="B8" s="24"/>
      <c r="C8" s="27" t="str">
        <f>'[1]1. Pasted app "NR" Date Here'!M2</f>
        <v>Beas</v>
      </c>
      <c r="D8" s="24"/>
      <c r="E8" s="24"/>
      <c r="F8" s="19" t="s">
        <v>149</v>
      </c>
      <c r="G8" s="17">
        <f>'[1]1. Pasted app "NR" Date Here'!Q2</f>
        <v>46148</v>
      </c>
      <c r="H8" s="18" t="s">
        <v>148</v>
      </c>
      <c r="I8" s="17">
        <f>'[1]1. Pasted app "NR" Date Here'!R2</f>
        <v>46152</v>
      </c>
    </row>
    <row r="9" spans="1:9" ht="21" customHeight="1" x14ac:dyDescent="0.2">
      <c r="A9" s="27" t="s">
        <v>147</v>
      </c>
      <c r="B9" s="24"/>
      <c r="C9" s="24"/>
      <c r="D9" s="24"/>
      <c r="E9" s="24"/>
      <c r="F9" s="24"/>
      <c r="G9" s="29" t="str">
        <f>'[1]1. Pasted app "NR" Date Here'!S2</f>
        <v>Construction</v>
      </c>
      <c r="H9" s="24"/>
      <c r="I9" s="24"/>
    </row>
    <row r="10" spans="1:9" ht="14.25" customHeight="1" x14ac:dyDescent="0.2">
      <c r="A10" s="25"/>
      <c r="B10" s="24"/>
      <c r="C10" s="24"/>
      <c r="D10" s="24"/>
      <c r="E10" s="24"/>
      <c r="F10" s="24"/>
      <c r="G10" s="24"/>
      <c r="H10" s="24"/>
      <c r="I10" s="16"/>
    </row>
    <row r="11" spans="1:9" ht="30" customHeight="1" x14ac:dyDescent="0.2">
      <c r="A11" s="15" t="s">
        <v>146</v>
      </c>
      <c r="B11" s="14" t="s">
        <v>145</v>
      </c>
      <c r="C11" s="14" t="s">
        <v>144</v>
      </c>
      <c r="D11" s="14" t="s">
        <v>14</v>
      </c>
      <c r="E11" s="14" t="s">
        <v>143</v>
      </c>
      <c r="F11" s="14" t="s">
        <v>142</v>
      </c>
      <c r="G11" s="14" t="s">
        <v>141</v>
      </c>
      <c r="H11" s="13" t="s">
        <v>140</v>
      </c>
      <c r="I11" s="12" t="s">
        <v>139</v>
      </c>
    </row>
    <row r="12" spans="1:9" ht="30" customHeight="1" x14ac:dyDescent="0.2">
      <c r="A12" s="10">
        <v>1</v>
      </c>
      <c r="B12" s="9" t="s">
        <v>282</v>
      </c>
      <c r="C12" s="9" t="s">
        <v>283</v>
      </c>
      <c r="D12" s="9" t="s">
        <v>18</v>
      </c>
      <c r="E12" s="9">
        <v>54</v>
      </c>
      <c r="F12" s="9" t="s">
        <v>284</v>
      </c>
      <c r="G12" s="9" t="s">
        <v>285</v>
      </c>
      <c r="H12" s="9">
        <v>7838051020</v>
      </c>
      <c r="I12" s="8" t="s">
        <v>286</v>
      </c>
    </row>
    <row r="13" spans="1:9" ht="30" customHeight="1" x14ac:dyDescent="0.2">
      <c r="A13" s="10">
        <f>A12+1</f>
        <v>2</v>
      </c>
      <c r="B13" s="9" t="s">
        <v>287</v>
      </c>
      <c r="C13" s="9" t="s">
        <v>288</v>
      </c>
      <c r="D13" s="9" t="s">
        <v>18</v>
      </c>
      <c r="E13" s="9">
        <v>36</v>
      </c>
      <c r="F13" s="9" t="s">
        <v>289</v>
      </c>
      <c r="G13" s="9" t="s">
        <v>290</v>
      </c>
      <c r="H13" s="9">
        <v>7742698655</v>
      </c>
      <c r="I13" s="8" t="s">
        <v>291</v>
      </c>
    </row>
    <row r="14" spans="1:9" ht="30" customHeight="1" x14ac:dyDescent="0.2">
      <c r="A14" s="10">
        <f t="shared" ref="A14:A23" si="0">A13+1</f>
        <v>3</v>
      </c>
      <c r="B14" s="9" t="s">
        <v>292</v>
      </c>
      <c r="C14" s="9" t="s">
        <v>293</v>
      </c>
      <c r="D14" s="9" t="s">
        <v>18</v>
      </c>
      <c r="E14" s="9">
        <v>55</v>
      </c>
      <c r="F14" s="9" t="s">
        <v>294</v>
      </c>
      <c r="G14" s="9" t="s">
        <v>295</v>
      </c>
      <c r="H14" s="9">
        <v>8929199748</v>
      </c>
      <c r="I14" s="8" t="s">
        <v>296</v>
      </c>
    </row>
    <row r="15" spans="1:9" ht="30" customHeight="1" x14ac:dyDescent="0.2">
      <c r="A15" s="10">
        <f t="shared" si="0"/>
        <v>4</v>
      </c>
      <c r="B15" s="9" t="s">
        <v>297</v>
      </c>
      <c r="C15" s="9" t="s">
        <v>298</v>
      </c>
      <c r="D15" s="9" t="s">
        <v>18</v>
      </c>
      <c r="E15" s="9">
        <v>67</v>
      </c>
      <c r="F15" s="9" t="s">
        <v>299</v>
      </c>
      <c r="G15" s="9" t="s">
        <v>300</v>
      </c>
      <c r="H15" s="9">
        <v>9211251105</v>
      </c>
      <c r="I15" s="8" t="s">
        <v>10</v>
      </c>
    </row>
    <row r="16" spans="1:9" ht="30" customHeight="1" x14ac:dyDescent="0.2">
      <c r="A16" s="10">
        <f t="shared" si="0"/>
        <v>5</v>
      </c>
      <c r="B16" s="9" t="s">
        <v>301</v>
      </c>
      <c r="C16" s="9" t="s">
        <v>302</v>
      </c>
      <c r="D16" s="9" t="s">
        <v>14</v>
      </c>
      <c r="E16" s="9">
        <v>70</v>
      </c>
      <c r="F16" s="9" t="s">
        <v>303</v>
      </c>
      <c r="G16" s="9" t="s">
        <v>304</v>
      </c>
      <c r="H16" s="9">
        <v>9810501114</v>
      </c>
      <c r="I16" s="8" t="s">
        <v>10</v>
      </c>
    </row>
    <row r="17" spans="1:9" ht="30" customHeight="1" x14ac:dyDescent="0.2">
      <c r="A17" s="10">
        <f t="shared" si="0"/>
        <v>6</v>
      </c>
      <c r="B17" s="9" t="s">
        <v>305</v>
      </c>
      <c r="C17" s="9" t="s">
        <v>306</v>
      </c>
      <c r="D17" s="9" t="s">
        <v>18</v>
      </c>
      <c r="E17" s="9">
        <v>60</v>
      </c>
      <c r="F17" s="9" t="s">
        <v>307</v>
      </c>
      <c r="G17" s="9" t="s">
        <v>308</v>
      </c>
      <c r="H17" s="9">
        <v>9312431586</v>
      </c>
      <c r="I17" s="8" t="s">
        <v>309</v>
      </c>
    </row>
    <row r="18" spans="1:9" ht="30" customHeight="1" x14ac:dyDescent="0.2">
      <c r="A18" s="10">
        <f t="shared" si="0"/>
        <v>7</v>
      </c>
      <c r="B18" s="9" t="s">
        <v>310</v>
      </c>
      <c r="C18" s="9" t="s">
        <v>311</v>
      </c>
      <c r="D18" s="9" t="s">
        <v>18</v>
      </c>
      <c r="E18" s="9">
        <v>63</v>
      </c>
      <c r="F18" s="9" t="s">
        <v>312</v>
      </c>
      <c r="G18" s="9" t="s">
        <v>313</v>
      </c>
      <c r="H18" s="9">
        <v>9810717699</v>
      </c>
      <c r="I18" s="8" t="s">
        <v>10</v>
      </c>
    </row>
    <row r="19" spans="1:9" ht="30" customHeight="1" x14ac:dyDescent="0.2">
      <c r="A19" s="10">
        <f t="shared" si="0"/>
        <v>8</v>
      </c>
      <c r="B19" s="9" t="s">
        <v>314</v>
      </c>
      <c r="C19" s="9" t="s">
        <v>315</v>
      </c>
      <c r="D19" s="9" t="s">
        <v>18</v>
      </c>
      <c r="E19" s="9">
        <v>70</v>
      </c>
      <c r="F19" s="9" t="s">
        <v>316</v>
      </c>
      <c r="G19" s="9" t="s">
        <v>317</v>
      </c>
      <c r="H19" s="9">
        <v>9312396620</v>
      </c>
      <c r="I19" s="8" t="s">
        <v>10</v>
      </c>
    </row>
    <row r="20" spans="1:9" ht="30" customHeight="1" x14ac:dyDescent="0.2">
      <c r="A20" s="10">
        <f t="shared" si="0"/>
        <v>9</v>
      </c>
      <c r="B20" s="9" t="s">
        <v>318</v>
      </c>
      <c r="C20" s="9" t="s">
        <v>319</v>
      </c>
      <c r="D20" s="9" t="s">
        <v>18</v>
      </c>
      <c r="E20" s="9">
        <v>50</v>
      </c>
      <c r="F20" s="9" t="s">
        <v>320</v>
      </c>
      <c r="G20" s="9" t="s">
        <v>321</v>
      </c>
      <c r="H20" s="9">
        <v>7838370590</v>
      </c>
      <c r="I20" s="8" t="s">
        <v>322</v>
      </c>
    </row>
    <row r="21" spans="1:9" ht="30" customHeight="1" x14ac:dyDescent="0.2">
      <c r="A21" s="10">
        <f t="shared" si="0"/>
        <v>10</v>
      </c>
      <c r="B21" s="9" t="s">
        <v>323</v>
      </c>
      <c r="C21" s="9" t="s">
        <v>324</v>
      </c>
      <c r="D21" s="9" t="s">
        <v>14</v>
      </c>
      <c r="E21" s="9">
        <v>53</v>
      </c>
      <c r="F21" s="9" t="s">
        <v>325</v>
      </c>
      <c r="G21" s="9" t="s">
        <v>326</v>
      </c>
      <c r="H21" s="9">
        <v>8860677142</v>
      </c>
      <c r="I21" s="8" t="s">
        <v>10</v>
      </c>
    </row>
    <row r="22" spans="1:9" ht="30" customHeight="1" x14ac:dyDescent="0.2">
      <c r="A22" s="10">
        <f t="shared" si="0"/>
        <v>11</v>
      </c>
      <c r="B22" s="9" t="s">
        <v>327</v>
      </c>
      <c r="C22" s="9" t="s">
        <v>328</v>
      </c>
      <c r="D22" s="9" t="s">
        <v>14</v>
      </c>
      <c r="E22" s="9">
        <v>37</v>
      </c>
      <c r="F22" s="9" t="s">
        <v>329</v>
      </c>
      <c r="G22" s="9" t="s">
        <v>330</v>
      </c>
      <c r="H22" s="9">
        <v>9354996911</v>
      </c>
      <c r="I22" s="8" t="s">
        <v>331</v>
      </c>
    </row>
    <row r="23" spans="1:9" ht="30" customHeight="1" x14ac:dyDescent="0.2">
      <c r="A23" s="10">
        <f t="shared" si="0"/>
        <v>12</v>
      </c>
      <c r="B23" s="9" t="s">
        <v>332</v>
      </c>
      <c r="C23" s="9" t="s">
        <v>333</v>
      </c>
      <c r="D23" s="9" t="s">
        <v>14</v>
      </c>
      <c r="E23" s="9">
        <v>29</v>
      </c>
      <c r="F23" s="9" t="s">
        <v>334</v>
      </c>
      <c r="G23" s="9" t="s">
        <v>335</v>
      </c>
      <c r="H23" s="9">
        <v>9599301693</v>
      </c>
      <c r="I23" s="8" t="s">
        <v>10</v>
      </c>
    </row>
    <row r="24" spans="1:9" ht="30" customHeight="1" x14ac:dyDescent="0.2">
      <c r="A24" s="10"/>
      <c r="B24" s="9"/>
      <c r="C24" s="9"/>
      <c r="D24" s="9"/>
      <c r="E24" s="9"/>
      <c r="F24" s="9"/>
      <c r="G24" s="9"/>
      <c r="H24" s="9"/>
      <c r="I24" s="8"/>
    </row>
    <row r="25" spans="1:9" ht="30" customHeight="1" x14ac:dyDescent="0.2">
      <c r="A25" s="10"/>
      <c r="B25" s="9"/>
      <c r="C25" s="9"/>
      <c r="D25" s="9"/>
      <c r="E25" s="9"/>
      <c r="F25" s="9"/>
      <c r="G25" s="9"/>
      <c r="H25" s="9"/>
      <c r="I25" s="8"/>
    </row>
    <row r="26" spans="1:9" ht="30" customHeight="1" x14ac:dyDescent="0.2">
      <c r="A26" s="10"/>
      <c r="B26" s="9"/>
      <c r="C26" s="9"/>
      <c r="D26" s="9"/>
      <c r="E26" s="9"/>
      <c r="F26" s="9"/>
      <c r="G26" s="9"/>
      <c r="H26" s="9"/>
      <c r="I26" s="8"/>
    </row>
    <row r="27" spans="1:9" ht="30" customHeight="1" x14ac:dyDescent="0.2">
      <c r="A27" s="10"/>
      <c r="B27" s="9"/>
      <c r="C27" s="9"/>
      <c r="D27" s="9"/>
      <c r="E27" s="9"/>
      <c r="F27" s="9"/>
      <c r="G27" s="9"/>
      <c r="H27" s="9"/>
      <c r="I27" s="8"/>
    </row>
    <row r="28" spans="1:9" ht="30" customHeight="1" x14ac:dyDescent="0.2">
      <c r="A28" s="10"/>
      <c r="B28" s="9"/>
      <c r="C28" s="9"/>
      <c r="D28" s="9"/>
      <c r="E28" s="9"/>
      <c r="F28" s="9"/>
      <c r="G28" s="9"/>
      <c r="H28" s="9"/>
      <c r="I28" s="8"/>
    </row>
    <row r="29" spans="1:9" ht="30" customHeight="1" x14ac:dyDescent="0.2">
      <c r="A29" s="10"/>
      <c r="B29" s="9"/>
      <c r="C29" s="9"/>
      <c r="D29" s="9"/>
      <c r="E29" s="9"/>
      <c r="F29" s="9"/>
      <c r="G29" s="9"/>
      <c r="H29" s="9"/>
      <c r="I29" s="8"/>
    </row>
    <row r="30" spans="1:9" ht="30" customHeight="1" x14ac:dyDescent="0.2">
      <c r="A30" s="10"/>
      <c r="B30" s="9"/>
      <c r="C30" s="9"/>
      <c r="D30" s="9"/>
      <c r="E30" s="9"/>
      <c r="F30" s="9"/>
      <c r="G30" s="9"/>
      <c r="H30" s="9"/>
      <c r="I30" s="8"/>
    </row>
    <row r="31" spans="1:9" ht="30" customHeight="1" x14ac:dyDescent="0.2">
      <c r="A31" s="10"/>
      <c r="B31" s="9"/>
      <c r="C31" s="9"/>
      <c r="D31" s="9"/>
      <c r="E31" s="9"/>
      <c r="F31" s="9"/>
      <c r="G31" s="9"/>
      <c r="H31" s="9"/>
      <c r="I31" s="8"/>
    </row>
    <row r="32" spans="1:9" ht="30" customHeight="1" x14ac:dyDescent="0.2">
      <c r="A32" s="10"/>
      <c r="B32" s="9"/>
      <c r="C32" s="9"/>
      <c r="D32" s="9"/>
      <c r="E32" s="9"/>
      <c r="F32" s="9"/>
      <c r="G32" s="9"/>
      <c r="H32" s="9"/>
      <c r="I32" s="8"/>
    </row>
    <row r="33" spans="1:9" ht="30" customHeight="1" x14ac:dyDescent="0.2">
      <c r="A33" s="10"/>
      <c r="B33" s="9"/>
      <c r="C33" s="9"/>
      <c r="D33" s="9"/>
      <c r="E33" s="9"/>
      <c r="F33" s="9"/>
      <c r="G33" s="9"/>
      <c r="H33" s="9"/>
      <c r="I33" s="8"/>
    </row>
    <row r="34" spans="1:9" ht="30" customHeight="1" x14ac:dyDescent="0.2">
      <c r="A34" s="10"/>
      <c r="B34" s="9"/>
      <c r="C34" s="9"/>
      <c r="D34" s="9"/>
      <c r="E34" s="9"/>
      <c r="F34" s="9"/>
      <c r="G34" s="9"/>
      <c r="H34" s="9"/>
      <c r="I34" s="8"/>
    </row>
    <row r="35" spans="1:9" ht="30" customHeight="1" x14ac:dyDescent="0.2">
      <c r="A35" s="10"/>
      <c r="B35" s="9"/>
      <c r="C35" s="9"/>
      <c r="D35" s="9"/>
      <c r="E35" s="9"/>
      <c r="F35" s="9"/>
      <c r="G35" s="9"/>
      <c r="H35" s="9"/>
      <c r="I35" s="8"/>
    </row>
    <row r="36" spans="1:9" ht="30" customHeight="1" x14ac:dyDescent="0.2">
      <c r="A36" s="10"/>
      <c r="B36" s="9"/>
      <c r="C36" s="9"/>
      <c r="D36" s="9"/>
      <c r="E36" s="9"/>
      <c r="F36" s="9"/>
      <c r="G36" s="9"/>
      <c r="H36" s="9"/>
      <c r="I36" s="8"/>
    </row>
    <row r="37" spans="1:9" ht="30" customHeight="1" x14ac:dyDescent="0.2">
      <c r="A37" s="10"/>
      <c r="B37" s="9"/>
      <c r="C37" s="9"/>
      <c r="D37" s="9"/>
      <c r="E37" s="9"/>
      <c r="F37" s="9"/>
      <c r="G37" s="9"/>
      <c r="H37" s="9"/>
      <c r="I37" s="8"/>
    </row>
    <row r="38" spans="1:9" ht="30" customHeight="1" x14ac:dyDescent="0.2">
      <c r="A38" s="10"/>
      <c r="B38" s="9"/>
      <c r="C38" s="9"/>
      <c r="D38" s="9"/>
      <c r="E38" s="9"/>
      <c r="F38" s="9"/>
      <c r="G38" s="9"/>
      <c r="H38" s="9"/>
      <c r="I38" s="8"/>
    </row>
    <row r="39" spans="1:9" ht="30" customHeight="1" x14ac:dyDescent="0.2">
      <c r="A39" s="10"/>
      <c r="B39" s="9"/>
      <c r="C39" s="9"/>
      <c r="D39" s="9"/>
      <c r="E39" s="9"/>
      <c r="F39" s="9"/>
      <c r="G39" s="9"/>
      <c r="H39" s="9"/>
      <c r="I39" s="8"/>
    </row>
    <row r="40" spans="1:9" ht="30" customHeight="1" x14ac:dyDescent="0.2">
      <c r="A40" s="10"/>
      <c r="B40" s="9"/>
      <c r="C40" s="9"/>
      <c r="D40" s="9"/>
      <c r="E40" s="9"/>
      <c r="F40" s="9"/>
      <c r="G40" s="9"/>
      <c r="H40" s="9"/>
      <c r="I40" s="8"/>
    </row>
    <row r="41" spans="1:9" ht="30" customHeight="1" x14ac:dyDescent="0.2">
      <c r="A41" s="10"/>
      <c r="B41" s="9"/>
      <c r="C41" s="9"/>
      <c r="D41" s="9"/>
      <c r="E41" s="9"/>
      <c r="F41" s="9"/>
      <c r="G41" s="9"/>
      <c r="H41" s="9"/>
      <c r="I41" s="8"/>
    </row>
    <row r="42" spans="1:9" ht="30" customHeight="1" x14ac:dyDescent="0.2">
      <c r="A42" s="10"/>
      <c r="B42" s="9"/>
      <c r="C42" s="9"/>
      <c r="D42" s="9"/>
      <c r="E42" s="9"/>
      <c r="F42" s="9"/>
      <c r="G42" s="9"/>
      <c r="H42" s="9"/>
      <c r="I42" s="8"/>
    </row>
    <row r="43" spans="1:9" ht="30" customHeight="1" x14ac:dyDescent="0.2">
      <c r="A43" s="10"/>
      <c r="B43" s="9"/>
      <c r="C43" s="9"/>
      <c r="D43" s="9"/>
      <c r="E43" s="9"/>
      <c r="F43" s="9"/>
      <c r="G43" s="9"/>
      <c r="H43" s="9"/>
      <c r="I43" s="8"/>
    </row>
    <row r="44" spans="1:9" ht="30" customHeight="1" x14ac:dyDescent="0.2">
      <c r="A44" s="10"/>
      <c r="B44" s="9"/>
      <c r="C44" s="9"/>
      <c r="D44" s="9"/>
      <c r="E44" s="9"/>
      <c r="F44" s="9"/>
      <c r="G44" s="9"/>
      <c r="H44" s="9"/>
      <c r="I44" s="8"/>
    </row>
    <row r="45" spans="1:9" ht="30" customHeight="1" x14ac:dyDescent="0.2">
      <c r="A45" s="10"/>
      <c r="B45" s="9"/>
      <c r="C45" s="9"/>
      <c r="D45" s="9"/>
      <c r="E45" s="9"/>
      <c r="F45" s="9"/>
      <c r="G45" s="9"/>
      <c r="H45" s="9"/>
      <c r="I45" s="8"/>
    </row>
    <row r="46" spans="1:9" ht="30" customHeight="1" x14ac:dyDescent="0.2">
      <c r="A46" s="10"/>
      <c r="B46" s="9"/>
      <c r="C46" s="9"/>
      <c r="D46" s="9"/>
      <c r="E46" s="9"/>
      <c r="F46" s="9"/>
      <c r="G46" s="9"/>
      <c r="H46" s="9"/>
      <c r="I46" s="8"/>
    </row>
    <row r="47" spans="1:9" ht="30" customHeight="1" x14ac:dyDescent="0.2">
      <c r="A47" s="10"/>
      <c r="B47" s="9"/>
      <c r="C47" s="9"/>
      <c r="D47" s="9"/>
      <c r="E47" s="9"/>
      <c r="F47" s="9"/>
      <c r="G47" s="9"/>
      <c r="H47" s="9"/>
      <c r="I47" s="8"/>
    </row>
    <row r="48" spans="1:9" ht="30" customHeight="1" x14ac:dyDescent="0.2">
      <c r="A48" s="10"/>
      <c r="B48" s="9"/>
      <c r="C48" s="9"/>
      <c r="D48" s="9"/>
      <c r="E48" s="9"/>
      <c r="F48" s="9"/>
      <c r="G48" s="9"/>
      <c r="H48" s="9"/>
      <c r="I48" s="8"/>
    </row>
    <row r="49" spans="1:9" ht="119.25" customHeight="1" x14ac:dyDescent="0.2">
      <c r="A49" s="6"/>
      <c r="B49" s="4"/>
      <c r="C49" s="4"/>
      <c r="D49" s="4"/>
      <c r="E49" s="4"/>
      <c r="F49" s="4"/>
      <c r="G49" s="4"/>
      <c r="H49" s="4"/>
      <c r="I49" s="3"/>
    </row>
    <row r="50" spans="1:9" ht="15.75" customHeight="1" x14ac:dyDescent="0.2">
      <c r="A50" s="30" t="s">
        <v>5</v>
      </c>
      <c r="B50" s="31"/>
      <c r="C50" s="4"/>
      <c r="D50" s="4"/>
      <c r="E50" s="4"/>
      <c r="F50" s="4"/>
      <c r="G50" s="7" t="s">
        <v>4</v>
      </c>
      <c r="H50" s="4"/>
      <c r="I50" s="3"/>
    </row>
    <row r="51" spans="1:9" ht="15.75" customHeight="1" x14ac:dyDescent="0.2">
      <c r="A51" s="6"/>
      <c r="B51" s="4"/>
      <c r="C51" s="4"/>
      <c r="D51" s="4"/>
      <c r="E51" s="4"/>
      <c r="F51" s="4"/>
      <c r="G51" s="5" t="s">
        <v>3</v>
      </c>
      <c r="H51" s="4"/>
      <c r="I51" s="3"/>
    </row>
    <row r="52" spans="1:9" ht="15.75" customHeight="1" x14ac:dyDescent="0.2">
      <c r="A52" s="32" t="s">
        <v>2</v>
      </c>
      <c r="B52" s="33"/>
      <c r="C52" s="33"/>
      <c r="D52" s="34"/>
      <c r="E52" s="2"/>
      <c r="F52" s="2"/>
      <c r="G52" s="35" t="s">
        <v>2</v>
      </c>
      <c r="H52" s="33"/>
      <c r="I52" s="36"/>
    </row>
    <row r="53" spans="1:9" ht="15.75" customHeight="1" x14ac:dyDescent="0.2">
      <c r="A53" s="37" t="s">
        <v>1</v>
      </c>
      <c r="B53" s="38"/>
      <c r="C53" s="38"/>
      <c r="D53" s="39"/>
      <c r="E53" s="1"/>
      <c r="F53" s="1"/>
      <c r="G53" s="40" t="s">
        <v>0</v>
      </c>
      <c r="H53" s="38"/>
      <c r="I53" s="41"/>
    </row>
    <row r="54" spans="1:9" ht="15.75" customHeight="1" x14ac:dyDescent="0.2"/>
    <row r="55" spans="1:9" ht="15.75" customHeight="1" x14ac:dyDescent="0.2"/>
    <row r="56" spans="1:9" ht="15.75" customHeight="1" x14ac:dyDescent="0.2"/>
    <row r="57" spans="1:9" ht="15.75" customHeight="1" x14ac:dyDescent="0.2"/>
    <row r="58" spans="1:9" ht="15.75" customHeight="1" x14ac:dyDescent="0.2"/>
    <row r="59" spans="1:9" ht="15.75" customHeight="1" x14ac:dyDescent="0.2"/>
    <row r="60" spans="1:9" ht="15.75" customHeight="1" x14ac:dyDescent="0.2"/>
    <row r="61" spans="1:9" ht="15.75" customHeight="1" x14ac:dyDescent="0.2"/>
    <row r="62" spans="1:9" ht="15.75" customHeight="1" x14ac:dyDescent="0.2"/>
    <row r="63" spans="1:9" ht="15.75" customHeight="1" x14ac:dyDescent="0.2"/>
    <row r="64" spans="1:9" ht="15.75" customHeight="1" x14ac:dyDescent="0.2"/>
    <row r="65" customFormat="1" ht="15.75" customHeight="1" x14ac:dyDescent="0.2"/>
    <row r="66" customFormat="1" ht="15.75" customHeight="1" x14ac:dyDescent="0.2"/>
    <row r="67" customFormat="1" ht="15.75" customHeight="1" x14ac:dyDescent="0.2"/>
    <row r="68" customFormat="1" ht="15.75" customHeight="1" x14ac:dyDescent="0.2"/>
    <row r="69" customFormat="1" ht="15.75" customHeight="1" x14ac:dyDescent="0.2"/>
    <row r="70" customFormat="1" ht="15.75" customHeight="1" x14ac:dyDescent="0.2"/>
    <row r="71" customFormat="1" ht="15.75" customHeight="1" x14ac:dyDescent="0.2"/>
    <row r="72" customFormat="1" ht="15.75" customHeight="1" x14ac:dyDescent="0.2"/>
    <row r="73" customFormat="1" ht="15.75" customHeight="1" x14ac:dyDescent="0.2"/>
    <row r="74" customFormat="1" ht="15.75" customHeight="1" x14ac:dyDescent="0.2"/>
    <row r="75" customFormat="1" ht="15.75" customHeight="1" x14ac:dyDescent="0.2"/>
    <row r="76" customFormat="1" ht="15.75" customHeight="1" x14ac:dyDescent="0.2"/>
    <row r="77" customFormat="1" ht="15.75" customHeight="1" x14ac:dyDescent="0.2"/>
    <row r="78" customFormat="1" ht="15.75" customHeight="1" x14ac:dyDescent="0.2"/>
    <row r="79" customFormat="1" ht="15.75" customHeight="1" x14ac:dyDescent="0.2"/>
    <row r="80" customFormat="1" ht="15.75" customHeight="1" x14ac:dyDescent="0.2"/>
    <row r="81" customFormat="1" ht="15.75" customHeight="1" x14ac:dyDescent="0.2"/>
    <row r="82" customFormat="1" ht="15.75" customHeight="1" x14ac:dyDescent="0.2"/>
    <row r="83" customFormat="1" ht="15.75" customHeight="1" x14ac:dyDescent="0.2"/>
    <row r="84" customFormat="1" ht="15.75" customHeight="1" x14ac:dyDescent="0.2"/>
    <row r="85" customFormat="1" ht="15.75" customHeight="1" x14ac:dyDescent="0.2"/>
    <row r="86" customFormat="1" ht="15.75" customHeight="1" x14ac:dyDescent="0.2"/>
    <row r="87" customFormat="1" ht="15.75" customHeight="1" x14ac:dyDescent="0.2"/>
    <row r="88" customFormat="1" ht="15.75" customHeight="1" x14ac:dyDescent="0.2"/>
    <row r="89" customFormat="1" ht="15.75" customHeight="1" x14ac:dyDescent="0.2"/>
    <row r="90" customFormat="1" ht="15.75" customHeight="1" x14ac:dyDescent="0.2"/>
    <row r="91" customFormat="1" ht="15.75" customHeight="1" x14ac:dyDescent="0.2"/>
    <row r="92" customFormat="1" ht="15.75" customHeight="1" x14ac:dyDescent="0.2"/>
    <row r="93" customFormat="1" ht="15.75" customHeight="1" x14ac:dyDescent="0.2"/>
    <row r="94" customFormat="1" ht="15.75" customHeight="1" x14ac:dyDescent="0.2"/>
    <row r="95" customFormat="1" ht="15.75" customHeight="1" x14ac:dyDescent="0.2"/>
    <row r="96" customFormat="1" ht="15.75" customHeight="1" x14ac:dyDescent="0.2"/>
    <row r="97" customFormat="1" ht="15.75" customHeight="1" x14ac:dyDescent="0.2"/>
    <row r="98" customFormat="1" ht="15.75" customHeight="1" x14ac:dyDescent="0.2"/>
    <row r="99" customFormat="1" ht="15.75" customHeight="1" x14ac:dyDescent="0.2"/>
    <row r="100" customFormat="1" ht="15.75" customHeight="1" x14ac:dyDescent="0.2"/>
  </sheetData>
  <mergeCells count="21">
    <mergeCell ref="A9:F9"/>
    <mergeCell ref="G9:I9"/>
    <mergeCell ref="A1:I1"/>
    <mergeCell ref="A2:I2"/>
    <mergeCell ref="A3:I3"/>
    <mergeCell ref="A5:B5"/>
    <mergeCell ref="C5:E5"/>
    <mergeCell ref="A6:B6"/>
    <mergeCell ref="C6:E6"/>
    <mergeCell ref="G6:I6"/>
    <mergeCell ref="A7:B7"/>
    <mergeCell ref="C7:E7"/>
    <mergeCell ref="G7:I7"/>
    <mergeCell ref="A8:B8"/>
    <mergeCell ref="C8:E8"/>
    <mergeCell ref="A10:H10"/>
    <mergeCell ref="A50:B50"/>
    <mergeCell ref="A52:D52"/>
    <mergeCell ref="G52:I52"/>
    <mergeCell ref="A53:D53"/>
    <mergeCell ref="G53:I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1-10 May</vt:lpstr>
      <vt:lpstr>1-5 May</vt:lpstr>
      <vt:lpstr>6-10 May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HW Unit</dc:creator>
  <cp:lastModifiedBy>Mahima Jain</cp:lastModifiedBy>
  <dcterms:created xsi:type="dcterms:W3CDTF">2026-04-27T09:43:38Z</dcterms:created>
  <dcterms:modified xsi:type="dcterms:W3CDTF">2026-05-01T16:47:46Z</dcterms:modified>
</cp:coreProperties>
</file>